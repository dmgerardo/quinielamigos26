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projekte\my websites\excel-template\worldcup 2026\"/>
    </mc:Choice>
  </mc:AlternateContent>
  <xr:revisionPtr revIDLastSave="0" documentId="8_{9C94B4AF-1F59-4BC0-A8F7-5D068649A64F}" xr6:coauthVersionLast="47" xr6:coauthVersionMax="47" xr10:uidLastSave="{00000000-0000-0000-0000-000000000000}"/>
  <bookViews>
    <workbookView xWindow="-120" yWindow="-120" windowWidth="29040" windowHeight="17490" xr2:uid="{96BAF70A-0842-4748-A95E-5E66E9F5065D}"/>
  </bookViews>
  <sheets>
    <sheet name="Groups" sheetId="1" r:id="rId1"/>
    <sheet name="Round of 32" sheetId="2" r:id="rId2"/>
    <sheet name="Round of 16,8,4, semi, 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X6" i="3" l="1"/>
  <c r="W13" i="3" s="1"/>
  <c r="W6" i="3"/>
  <c r="R6" i="3"/>
  <c r="Q13" i="3" s="1"/>
  <c r="R21" i="3" s="1"/>
  <c r="N21" i="3" s="1"/>
  <c r="K6" i="3"/>
  <c r="H6" i="3"/>
  <c r="F6" i="3"/>
  <c r="E13" i="3" s="1"/>
  <c r="K27" i="2"/>
  <c r="I27" i="2"/>
  <c r="H27" i="2"/>
  <c r="T6" i="3" s="1"/>
  <c r="U13" i="3" s="1"/>
  <c r="T21" i="3" s="1"/>
  <c r="N29" i="3" s="1"/>
  <c r="F27" i="2"/>
  <c r="E27" i="2"/>
  <c r="U6" i="3" s="1"/>
  <c r="B27" i="2"/>
  <c r="L20" i="2"/>
  <c r="K20" i="2"/>
  <c r="I20" i="2"/>
  <c r="H20" i="2"/>
  <c r="I6" i="3" s="1"/>
  <c r="I13" i="3" s="1"/>
  <c r="H21" i="3" s="1"/>
  <c r="L21" i="3" s="1"/>
  <c r="E20" i="2"/>
  <c r="B20" i="2"/>
  <c r="L6" i="3" s="1"/>
  <c r="K13" i="3" s="1"/>
  <c r="K13" i="2"/>
  <c r="H13" i="2"/>
  <c r="Q6" i="3" s="1"/>
  <c r="E13" i="2"/>
  <c r="C6" i="3" s="1"/>
  <c r="C13" i="3" s="1"/>
  <c r="F21" i="3" s="1"/>
  <c r="L29" i="3" s="1"/>
  <c r="C13" i="2"/>
  <c r="O6" i="3" s="1"/>
  <c r="B13" i="2"/>
  <c r="L6" i="2"/>
  <c r="K6" i="2"/>
  <c r="H6" i="2"/>
  <c r="F6" i="2"/>
  <c r="E6" i="2"/>
  <c r="N6" i="3" s="1"/>
  <c r="O13" i="3" s="1"/>
  <c r="C6" i="2"/>
  <c r="B6" i="2"/>
  <c r="E6" i="3" l="1"/>
</calcChain>
</file>

<file path=xl/sharedStrings.xml><?xml version="1.0" encoding="utf-8"?>
<sst xmlns="http://schemas.openxmlformats.org/spreadsheetml/2006/main" count="530" uniqueCount="202">
  <si>
    <t>Haiti</t>
  </si>
  <si>
    <t>USA</t>
  </si>
  <si>
    <t>Paraguay</t>
  </si>
  <si>
    <t>Curacao</t>
  </si>
  <si>
    <t>Ecuador</t>
  </si>
  <si>
    <t>Japan</t>
  </si>
  <si>
    <t>IR Iran</t>
  </si>
  <si>
    <t>Uruguay</t>
  </si>
  <si>
    <t>Senegal</t>
  </si>
  <si>
    <t>Portugal</t>
  </si>
  <si>
    <t>England</t>
  </si>
  <si>
    <t>Ghana</t>
  </si>
  <si>
    <t>Panama</t>
  </si>
  <si>
    <t>Guadalajara</t>
  </si>
  <si>
    <t>Atlanta</t>
  </si>
  <si>
    <t>Monterrey</t>
  </si>
  <si>
    <t>Toronto</t>
  </si>
  <si>
    <t>San Francisco Bay Area</t>
  </si>
  <si>
    <t>Los Angeles</t>
  </si>
  <si>
    <t>Vancouver</t>
  </si>
  <si>
    <t>Seattle</t>
  </si>
  <si>
    <t>New York / New Jersy</t>
  </si>
  <si>
    <t>Boston</t>
  </si>
  <si>
    <t>Philadelphia</t>
  </si>
  <si>
    <t>Miami</t>
  </si>
  <si>
    <t>Houston</t>
  </si>
  <si>
    <t>Dallas</t>
  </si>
  <si>
    <t>1.</t>
  </si>
  <si>
    <t>2.</t>
  </si>
  <si>
    <t>3.</t>
  </si>
  <si>
    <t>4.</t>
  </si>
  <si>
    <t>1. Gr. E</t>
  </si>
  <si>
    <t>New York / New Jersey</t>
  </si>
  <si>
    <t>1. Gr. I</t>
  </si>
  <si>
    <t>2. Gr. A</t>
  </si>
  <si>
    <t>2. Gr. B</t>
  </si>
  <si>
    <t>2. Gr. C</t>
  </si>
  <si>
    <t>1. Gr. F</t>
  </si>
  <si>
    <t>2. Gr. L</t>
  </si>
  <si>
    <t>2. Gr. K</t>
  </si>
  <si>
    <t>1. Gr. H</t>
  </si>
  <si>
    <t>2. Gr. J</t>
  </si>
  <si>
    <t>1. Gr. D</t>
  </si>
  <si>
    <t>1. Gr. G</t>
  </si>
  <si>
    <t>1. Gr. C</t>
  </si>
  <si>
    <t>2. Gr. F</t>
  </si>
  <si>
    <t>2. Gr. E</t>
  </si>
  <si>
    <t>2. Gr. I</t>
  </si>
  <si>
    <t>1. Gr. A</t>
  </si>
  <si>
    <t>1. Gr. L</t>
  </si>
  <si>
    <t>1. Gr. J</t>
  </si>
  <si>
    <t>2. Gr. H</t>
  </si>
  <si>
    <t>2. Gr. D</t>
  </si>
  <si>
    <t>2. Gr. G</t>
  </si>
  <si>
    <t>1. Gr. B</t>
  </si>
  <si>
    <t>1. Gr. K</t>
  </si>
  <si>
    <t>*</t>
  </si>
  <si>
    <t>:</t>
  </si>
  <si>
    <t>Verlierer 101</t>
  </si>
  <si>
    <t>Verlierer 102</t>
  </si>
  <si>
    <t xml:space="preserve"> 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</si>
  <si>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</si>
  <si>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</si>
  <si>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</si>
  <si>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</si>
  <si>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</si>
  <si>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</si>
  <si>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</si>
  <si>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</si>
  <si>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J</t>
  </si>
  <si>
    <t>Group K</t>
  </si>
  <si>
    <t>Group L</t>
  </si>
  <si>
    <t>Mexico</t>
  </si>
  <si>
    <t>South Africa</t>
  </si>
  <si>
    <t>Canada</t>
  </si>
  <si>
    <t>South Korea</t>
  </si>
  <si>
    <t>K</t>
  </si>
  <si>
    <t>Qatar</t>
  </si>
  <si>
    <t>Switzerland</t>
  </si>
  <si>
    <t>Brazil</t>
  </si>
  <si>
    <t>Morocco</t>
  </si>
  <si>
    <t>Scotland</t>
  </si>
  <si>
    <t>Australia</t>
  </si>
  <si>
    <t>Germany</t>
  </si>
  <si>
    <t>Côte d'Ivoire</t>
  </si>
  <si>
    <t>Netherlands</t>
  </si>
  <si>
    <t>Sweden</t>
  </si>
  <si>
    <t>Tunisia</t>
  </si>
  <si>
    <t>Belgium</t>
  </si>
  <si>
    <t>Egypt</t>
  </si>
  <si>
    <t>New Zealand</t>
  </si>
  <si>
    <t>Spain</t>
  </si>
  <si>
    <t>Cabo Verde</t>
  </si>
  <si>
    <t>Saudi Arabia</t>
  </si>
  <si>
    <t>France</t>
  </si>
  <si>
    <t>Iraq</t>
  </si>
  <si>
    <t>Norway</t>
  </si>
  <si>
    <t>Argentina</t>
  </si>
  <si>
    <t>Algeria</t>
  </si>
  <si>
    <t>Austria</t>
  </si>
  <si>
    <t>Jordan</t>
  </si>
  <si>
    <t>Congo DR</t>
  </si>
  <si>
    <t>Uzbekistan</t>
  </si>
  <si>
    <t>Colombia</t>
  </si>
  <si>
    <t>Croatia</t>
  </si>
  <si>
    <t>Czechia</t>
  </si>
  <si>
    <t>Bosnia-Herzegovina</t>
  </si>
  <si>
    <t>Türkiye</t>
  </si>
  <si>
    <t>Final Standings</t>
  </si>
  <si>
    <t>Final</t>
  </si>
  <si>
    <t>Round of 16 / 2</t>
  </si>
  <si>
    <t>Round of 16 / 1</t>
  </si>
  <si>
    <t>Round of 16 / 5</t>
  </si>
  <si>
    <t>Round of 16 / 6</t>
  </si>
  <si>
    <t>Round of 16 / 3</t>
  </si>
  <si>
    <t>Round of 16 / 4</t>
  </si>
  <si>
    <t>Round of 16 / 7</t>
  </si>
  <si>
    <t>Round of 16 / 8</t>
  </si>
  <si>
    <t>Round of 8 / 1</t>
  </si>
  <si>
    <t>Round of 8 / 2</t>
  </si>
  <si>
    <t>Round of 8 / 3</t>
  </si>
  <si>
    <t>Round of 8 / 4</t>
  </si>
  <si>
    <t>Round of 4 / 1</t>
  </si>
  <si>
    <t>Round of 4 / 2</t>
  </si>
  <si>
    <t>Third place match</t>
  </si>
  <si>
    <t>Round of 32 /  2</t>
  </si>
  <si>
    <t>Round of 32 /  3</t>
  </si>
  <si>
    <t>Round of 32 /  4</t>
  </si>
  <si>
    <t>Round of 32 /  5</t>
  </si>
  <si>
    <t>Round of 32 /  6</t>
  </si>
  <si>
    <t>Round of 32 /  7</t>
  </si>
  <si>
    <t>Round of 32 /  8</t>
  </si>
  <si>
    <t>Round of 32 /  9</t>
  </si>
  <si>
    <t>Round of 32 /  10</t>
  </si>
  <si>
    <t>Round of 32 /  11</t>
  </si>
  <si>
    <t>Round of 32 /  14</t>
  </si>
  <si>
    <t>Round of 32 /  15</t>
  </si>
  <si>
    <t>Round of 32 /  16</t>
  </si>
  <si>
    <t>Round of 32  /  1</t>
  </si>
  <si>
    <t>Round of 32/  12</t>
  </si>
  <si>
    <t>Round of 32/  13</t>
  </si>
  <si>
    <t>The top 8 third-place finishers also qualify</t>
  </si>
  <si>
    <t>Mexico City</t>
  </si>
  <si>
    <t>Kansas City</t>
  </si>
  <si>
    <t>Winner 74</t>
  </si>
  <si>
    <t>Winner 77</t>
  </si>
  <si>
    <t>Winner 73</t>
  </si>
  <si>
    <t>Winner 75</t>
  </si>
  <si>
    <t>Winner 83</t>
  </si>
  <si>
    <t>Winner 84</t>
  </si>
  <si>
    <t>Winner 81</t>
  </si>
  <si>
    <t>Winner 82</t>
  </si>
  <si>
    <t>Winner 76</t>
  </si>
  <si>
    <t>Winner 78</t>
  </si>
  <si>
    <t>Winner 79</t>
  </si>
  <si>
    <t>Winner 80</t>
  </si>
  <si>
    <t>Winner 86</t>
  </si>
  <si>
    <t>Winner 88</t>
  </si>
  <si>
    <t>Winner 85</t>
  </si>
  <si>
    <t>Winner 87</t>
  </si>
  <si>
    <t>Winner 89</t>
  </si>
  <si>
    <t>Winner 90</t>
  </si>
  <si>
    <t>Winner 93</t>
  </si>
  <si>
    <t>Winner 94</t>
  </si>
  <si>
    <t>Winner 91</t>
  </si>
  <si>
    <t>Winner 92</t>
  </si>
  <si>
    <t>Winner 95</t>
  </si>
  <si>
    <t>Winner 96</t>
  </si>
  <si>
    <t>Winner 97</t>
  </si>
  <si>
    <t>Winner 98</t>
  </si>
  <si>
    <t>Winner 99</t>
  </si>
  <si>
    <t>Winner 100</t>
  </si>
  <si>
    <t>Winner 101</t>
  </si>
  <si>
    <t>Winner 102</t>
  </si>
  <si>
    <t>Sat, 6.13.2026</t>
  </si>
  <si>
    <t>Fri, 6.12.2026</t>
  </si>
  <si>
    <t>Thu, 6.11.2026</t>
  </si>
  <si>
    <t>Sun, 6.14.2026</t>
  </si>
  <si>
    <t>Fri, 6.19.2026</t>
  </si>
  <si>
    <t>Thu, 6.18.2026</t>
  </si>
  <si>
    <t>Sat, 6.20.2026</t>
  </si>
  <si>
    <t>Wed, 6.24.2026</t>
  </si>
  <si>
    <t>Thu, 6.25.2026</t>
  </si>
  <si>
    <t>Tue, 6.16.2026</t>
  </si>
  <si>
    <t>Mon, 6.15.2026</t>
  </si>
  <si>
    <t>Wed, 6.17.2026</t>
  </si>
  <si>
    <t>Sun, 6.21.2026</t>
  </si>
  <si>
    <t>Mon, 6.22.2026</t>
  </si>
  <si>
    <t>Tue, 6.23.2026</t>
  </si>
  <si>
    <t>Fri, 6.26.2026</t>
  </si>
  <si>
    <t>Sat, 6.27.2026</t>
  </si>
  <si>
    <t>Mon, 6.29.2026</t>
  </si>
  <si>
    <t>Tue, 6.30.2026</t>
  </si>
  <si>
    <t>Wed, 7.1.2026</t>
  </si>
  <si>
    <t>Thu, 7.2.2026</t>
  </si>
  <si>
    <t>Fri, 7.3.2026</t>
  </si>
  <si>
    <t>Mon, 7.6.2026</t>
  </si>
  <si>
    <t>Sun, 7.5.2026</t>
  </si>
  <si>
    <t>Sat, 7.11.2026</t>
  </si>
  <si>
    <t>Groups (US Eastern Time)</t>
  </si>
  <si>
    <t>Round of 32  (US Eastern Time)</t>
  </si>
  <si>
    <t>Round of 16, 8, 4 and final  (US Eastern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</si>
</sst>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d\,\ m/d/yyyy"/>
    <numFmt numFmtId="165" formatCode="[$-409]h:mm\ AM/PM"/>
  </numFmts>
  <fonts count="1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0" tint="-0.249977111117893"/>
      <name val="Aptos Narrow"/>
      <family val="2"/>
      <scheme val="minor"/>
    </font>
    <font>
      <sz val="10"/>
      <color theme="0" tint="-0.249977111117893"/>
      <name val="Aptos Narrow"/>
      <family val="2"/>
      <scheme val="minor"/>
    </font>
    <font>
      <sz val="18"/>
      <color theme="1"/>
      <name val="Aptos Display"/>
      <scheme val="major"/>
    </font>
    <font>
      <i/>
      <u/>
      <sz val="12"/>
      <color theme="1"/>
      <name val="Aptos Narrow"/>
      <family val="2"/>
      <scheme val="minor"/>
    </font>
    <font>
      <i/>
      <u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u/>
      <sz val="12"/>
      <color theme="0" tint="-0.34998626667073579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/>
    <xf numFmtId="0" fontId="11" fillId="0" borderId="5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5" fillId="0" borderId="0" xfId="0" applyFont="1"/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4" fontId="18" fillId="0" borderId="2" xfId="0" applyNumberFormat="1" applyFont="1" applyBorder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0" fontId="18" fillId="0" borderId="0" xfId="0" applyFont="1"/>
    <xf numFmtId="164" fontId="18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76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03381A-6AEA-D546-BBE7-CF99CD8D3481}">
  <we:reference id="wa200003696" version="1.3.0.0" store="de-DE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10BE-4A20-F843-8FC7-0087153BC8F3}">
  <dimension ref="A1:AF85"/>
  <sheetViews>
    <sheetView showGridLines="0" tabSelected="1" view="pageLayout" zoomScaleNormal="110" workbookViewId="0">
      <selection activeCell="I22" sqref="I22"/>
    </sheetView>
  </sheetViews>
  <sheetFormatPr baseColWidth="10" defaultRowHeight="15.75" x14ac:dyDescent="0.25"/>
  <cols>
    <col min="1" max="1" width="2.125" customWidth="1"/>
    <col min="2" max="3" width="12.625" customWidth="1"/>
    <col min="4" max="4" width="2" customWidth="1"/>
    <col min="5" max="6" width="12.625" customWidth="1"/>
    <col min="7" max="7" width="2" customWidth="1"/>
    <col min="8" max="9" width="12.625" customWidth="1"/>
    <col min="10" max="10" width="2" customWidth="1"/>
    <col min="11" max="12" width="12.625" customWidth="1"/>
    <col min="13" max="13" width="2" customWidth="1"/>
    <col min="14" max="15" width="12.625" customWidth="1"/>
    <col min="16" max="16" width="2" customWidth="1"/>
    <col min="17" max="17" width="13.375" bestFit="1" customWidth="1"/>
    <col min="18" max="18" width="12.625" customWidth="1"/>
    <col min="19" max="20" width="14.5" customWidth="1"/>
    <col min="21" max="21" width="3.625" customWidth="1"/>
    <col min="22" max="23" width="14.5" customWidth="1"/>
    <col min="24" max="24" width="3" customWidth="1"/>
    <col min="25" max="26" width="14.5" customWidth="1"/>
    <col min="27" max="27" width="3.625" customWidth="1"/>
    <col min="28" max="29" width="14.5" customWidth="1"/>
    <col min="30" max="30" width="3.5" customWidth="1"/>
    <col min="31" max="32" width="14.5" customWidth="1"/>
  </cols>
  <sheetData>
    <row r="1" spans="2:32" x14ac:dyDescent="0.25">
      <c r="B1" s="63" t="s">
        <v>199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2:32" ht="6" customHeight="1" x14ac:dyDescent="0.25">
      <c r="B2" t="s">
        <v>60</v>
      </c>
    </row>
    <row r="3" spans="2:32" x14ac:dyDescent="0.25">
      <c r="B3" s="64" t="s">
        <v>61</v>
      </c>
      <c r="C3" s="64"/>
      <c r="E3" s="64" t="s">
        <v>62</v>
      </c>
      <c r="F3" s="64"/>
      <c r="G3" s="6"/>
      <c r="H3" s="64" t="s">
        <v>63</v>
      </c>
      <c r="I3" s="64"/>
      <c r="K3" s="64" t="s">
        <v>64</v>
      </c>
      <c r="L3" s="64"/>
      <c r="N3" s="64" t="s">
        <v>65</v>
      </c>
      <c r="O3" s="64"/>
      <c r="Q3" s="57" t="s">
        <v>66</v>
      </c>
      <c r="R3" s="58"/>
      <c r="S3" s="61"/>
      <c r="T3" s="61"/>
      <c r="V3" s="61"/>
      <c r="W3" s="61"/>
      <c r="Y3" s="61"/>
      <c r="Z3" s="61"/>
      <c r="AB3" s="61"/>
      <c r="AC3" s="61"/>
      <c r="AE3" s="61"/>
      <c r="AF3" s="61"/>
    </row>
    <row r="4" spans="2:32" x14ac:dyDescent="0.25">
      <c r="B4" s="65" t="s">
        <v>72</v>
      </c>
      <c r="C4" s="65"/>
      <c r="E4" s="65" t="s">
        <v>74</v>
      </c>
      <c r="F4" s="65"/>
      <c r="G4" s="6"/>
      <c r="H4" s="65" t="s">
        <v>79</v>
      </c>
      <c r="I4" s="65"/>
      <c r="K4" s="65" t="s">
        <v>1</v>
      </c>
      <c r="L4" s="65"/>
      <c r="N4" s="65" t="s">
        <v>83</v>
      </c>
      <c r="O4" s="65"/>
      <c r="Q4" s="59" t="s">
        <v>85</v>
      </c>
      <c r="R4" s="60"/>
      <c r="S4" s="61"/>
      <c r="T4" s="61"/>
      <c r="V4" s="61"/>
      <c r="W4" s="61"/>
      <c r="Y4" s="61"/>
      <c r="Z4" s="61"/>
      <c r="AB4" s="61"/>
      <c r="AC4" s="61"/>
      <c r="AE4" s="61"/>
      <c r="AF4" s="61"/>
    </row>
    <row r="5" spans="2:32" x14ac:dyDescent="0.25">
      <c r="B5" s="65" t="s">
        <v>73</v>
      </c>
      <c r="C5" s="65"/>
      <c r="E5" s="65" t="s">
        <v>106</v>
      </c>
      <c r="F5" s="65"/>
      <c r="G5" s="6"/>
      <c r="H5" s="65" t="s">
        <v>80</v>
      </c>
      <c r="I5" s="65"/>
      <c r="K5" s="65" t="s">
        <v>2</v>
      </c>
      <c r="L5" s="65"/>
      <c r="N5" s="65" t="s">
        <v>3</v>
      </c>
      <c r="O5" s="65"/>
      <c r="Q5" s="59" t="s">
        <v>5</v>
      </c>
      <c r="R5" s="60"/>
      <c r="S5" s="61"/>
      <c r="T5" s="61"/>
      <c r="V5" s="61"/>
      <c r="W5" s="61"/>
      <c r="Y5" s="61"/>
      <c r="Z5" s="61"/>
      <c r="AB5" s="61"/>
      <c r="AC5" s="61"/>
      <c r="AE5" s="61"/>
      <c r="AF5" s="61"/>
    </row>
    <row r="6" spans="2:32" x14ac:dyDescent="0.25">
      <c r="B6" s="65" t="s">
        <v>75</v>
      </c>
      <c r="C6" s="65"/>
      <c r="E6" s="65" t="s">
        <v>77</v>
      </c>
      <c r="F6" s="65"/>
      <c r="G6" s="6"/>
      <c r="H6" s="65" t="s">
        <v>0</v>
      </c>
      <c r="I6" s="65"/>
      <c r="K6" s="65" t="s">
        <v>82</v>
      </c>
      <c r="L6" s="65"/>
      <c r="N6" s="65" t="s">
        <v>84</v>
      </c>
      <c r="O6" s="65"/>
      <c r="Q6" s="59" t="s">
        <v>86</v>
      </c>
      <c r="R6" s="60"/>
      <c r="S6" s="61"/>
      <c r="T6" s="61"/>
      <c r="V6" s="61"/>
      <c r="W6" s="61"/>
      <c r="Y6" s="61"/>
      <c r="Z6" s="61"/>
      <c r="AB6" s="61"/>
      <c r="AC6" s="61"/>
      <c r="AE6" s="61"/>
      <c r="AF6" s="61"/>
    </row>
    <row r="7" spans="2:32" x14ac:dyDescent="0.25">
      <c r="B7" s="65" t="s">
        <v>105</v>
      </c>
      <c r="C7" s="65"/>
      <c r="E7" s="65" t="s">
        <v>78</v>
      </c>
      <c r="F7" s="65"/>
      <c r="G7" s="6"/>
      <c r="H7" s="65" t="s">
        <v>81</v>
      </c>
      <c r="I7" s="65"/>
      <c r="K7" s="65" t="s">
        <v>107</v>
      </c>
      <c r="L7" s="65"/>
      <c r="N7" s="65" t="s">
        <v>4</v>
      </c>
      <c r="O7" s="65"/>
      <c r="Q7" s="59" t="s">
        <v>87</v>
      </c>
      <c r="R7" s="60"/>
      <c r="S7" s="61"/>
      <c r="T7" s="61"/>
      <c r="V7" s="61"/>
      <c r="W7" s="61"/>
      <c r="Y7" s="61"/>
      <c r="Z7" s="61"/>
      <c r="AB7" s="61"/>
      <c r="AC7" s="61"/>
      <c r="AE7" s="61"/>
      <c r="AF7" s="61"/>
    </row>
    <row r="9" spans="2:32" x14ac:dyDescent="0.25">
      <c r="B9" s="56" t="s">
        <v>142</v>
      </c>
      <c r="C9" s="56"/>
      <c r="D9" s="28"/>
      <c r="E9" s="56" t="s">
        <v>16</v>
      </c>
      <c r="F9" s="56"/>
      <c r="G9" s="29"/>
      <c r="H9" s="56" t="s">
        <v>21</v>
      </c>
      <c r="I9" s="56"/>
      <c r="J9" s="28"/>
      <c r="K9" s="56" t="s">
        <v>18</v>
      </c>
      <c r="L9" s="56"/>
      <c r="M9" s="28"/>
      <c r="N9" s="56" t="s">
        <v>25</v>
      </c>
      <c r="O9" s="56"/>
      <c r="P9" s="28"/>
      <c r="Q9" s="54" t="s">
        <v>26</v>
      </c>
      <c r="R9" s="55"/>
      <c r="S9" s="61"/>
      <c r="T9" s="61"/>
      <c r="V9" s="61"/>
      <c r="W9" s="61"/>
      <c r="Y9" s="61"/>
      <c r="Z9" s="61"/>
      <c r="AB9" s="61"/>
      <c r="AC9" s="61"/>
      <c r="AE9" s="61"/>
      <c r="AF9" s="61"/>
    </row>
    <row r="10" spans="2:32" x14ac:dyDescent="0.25">
      <c r="B10" s="47">
        <v>46184</v>
      </c>
      <c r="C10" s="48">
        <v>0.625</v>
      </c>
      <c r="D10" s="49"/>
      <c r="E10" s="47">
        <v>46185</v>
      </c>
      <c r="F10" s="48">
        <v>0.625</v>
      </c>
      <c r="G10" s="50"/>
      <c r="H10" s="47" t="s">
        <v>174</v>
      </c>
      <c r="I10" s="48">
        <v>0.75</v>
      </c>
      <c r="J10" s="49"/>
      <c r="K10" s="47" t="s">
        <v>175</v>
      </c>
      <c r="L10" s="48">
        <v>0.875</v>
      </c>
      <c r="M10" s="49"/>
      <c r="N10" s="47">
        <v>46187</v>
      </c>
      <c r="O10" s="48">
        <v>0.54166666666666663</v>
      </c>
      <c r="P10" s="49"/>
      <c r="Q10" s="47">
        <v>46187</v>
      </c>
      <c r="R10" s="48">
        <v>0.66666666666666663</v>
      </c>
      <c r="S10" s="5"/>
      <c r="T10" s="10"/>
      <c r="V10" s="5"/>
      <c r="W10" s="10"/>
      <c r="Y10" s="5"/>
      <c r="Z10" s="10"/>
      <c r="AB10" s="5"/>
      <c r="AC10" s="10"/>
      <c r="AE10" s="5"/>
      <c r="AF10" s="10"/>
    </row>
    <row r="11" spans="2:32" s="8" customFormat="1" x14ac:dyDescent="0.25">
      <c r="B11" s="30" t="s">
        <v>72</v>
      </c>
      <c r="C11" s="30" t="s">
        <v>73</v>
      </c>
      <c r="D11" s="31"/>
      <c r="E11" s="30" t="s">
        <v>74</v>
      </c>
      <c r="F11" s="30" t="s">
        <v>106</v>
      </c>
      <c r="G11" s="32"/>
      <c r="H11" s="30" t="s">
        <v>79</v>
      </c>
      <c r="I11" s="30" t="s">
        <v>80</v>
      </c>
      <c r="J11" s="31"/>
      <c r="K11" s="30" t="s">
        <v>1</v>
      </c>
      <c r="L11" s="30" t="s">
        <v>2</v>
      </c>
      <c r="M11" s="31"/>
      <c r="N11" s="30" t="s">
        <v>83</v>
      </c>
      <c r="O11" s="30" t="s">
        <v>3</v>
      </c>
      <c r="P11" s="31"/>
      <c r="Q11" s="30" t="s">
        <v>85</v>
      </c>
      <c r="R11" s="30" t="s">
        <v>5</v>
      </c>
      <c r="S11" s="11"/>
      <c r="T11" s="11"/>
      <c r="V11" s="11"/>
      <c r="W11" s="11"/>
      <c r="Y11" s="11"/>
      <c r="Z11" s="11"/>
      <c r="AB11" s="11"/>
      <c r="AC11" s="11"/>
      <c r="AE11" s="11"/>
      <c r="AF11" s="11"/>
    </row>
    <row r="12" spans="2:32" x14ac:dyDescent="0.25">
      <c r="B12" s="33"/>
      <c r="C12" s="33"/>
      <c r="D12" s="28"/>
      <c r="E12" s="33"/>
      <c r="F12" s="33"/>
      <c r="G12" s="29"/>
      <c r="H12" s="33"/>
      <c r="I12" s="33"/>
      <c r="J12" s="28"/>
      <c r="K12" s="33"/>
      <c r="L12" s="33"/>
      <c r="M12" s="28"/>
      <c r="N12" s="33"/>
      <c r="O12" s="33"/>
      <c r="P12" s="28"/>
      <c r="Q12" s="33"/>
      <c r="R12" s="33"/>
      <c r="S12" s="1"/>
      <c r="T12" s="1"/>
      <c r="V12" s="1"/>
      <c r="W12" s="1"/>
      <c r="Y12" s="1"/>
      <c r="Z12" s="1"/>
      <c r="AB12" s="1"/>
      <c r="AC12" s="1"/>
      <c r="AE12" s="1"/>
      <c r="AF12" s="1"/>
    </row>
    <row r="13" spans="2:32" x14ac:dyDescent="0.25">
      <c r="B13" s="34"/>
      <c r="C13" s="34"/>
      <c r="D13" s="28"/>
      <c r="E13" s="34"/>
      <c r="F13" s="34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spans="2:32" x14ac:dyDescent="0.25">
      <c r="B14" s="56" t="s">
        <v>13</v>
      </c>
      <c r="C14" s="56"/>
      <c r="D14" s="28"/>
      <c r="E14" s="56" t="s">
        <v>17</v>
      </c>
      <c r="F14" s="56"/>
      <c r="G14" s="29"/>
      <c r="H14" s="56" t="s">
        <v>22</v>
      </c>
      <c r="I14" s="56"/>
      <c r="J14" s="28"/>
      <c r="K14" s="56" t="s">
        <v>19</v>
      </c>
      <c r="L14" s="56"/>
      <c r="M14" s="28"/>
      <c r="N14" s="56" t="s">
        <v>23</v>
      </c>
      <c r="O14" s="56"/>
      <c r="P14" s="28"/>
      <c r="Q14" s="54" t="s">
        <v>15</v>
      </c>
      <c r="R14" s="55"/>
      <c r="S14" s="61"/>
      <c r="T14" s="61"/>
      <c r="V14" s="61"/>
      <c r="W14" s="61"/>
      <c r="Y14" s="61"/>
      <c r="Z14" s="61"/>
      <c r="AB14" s="61"/>
      <c r="AC14" s="61"/>
      <c r="AE14" s="61"/>
      <c r="AF14" s="61"/>
    </row>
    <row r="15" spans="2:32" x14ac:dyDescent="0.25">
      <c r="B15" s="47" t="s">
        <v>176</v>
      </c>
      <c r="C15" s="48">
        <v>0.91666666666666663</v>
      </c>
      <c r="D15" s="49"/>
      <c r="E15" s="47">
        <v>46186</v>
      </c>
      <c r="F15" s="48">
        <v>0.625</v>
      </c>
      <c r="G15" s="50"/>
      <c r="H15" s="47" t="s">
        <v>174</v>
      </c>
      <c r="I15" s="48">
        <v>0.875</v>
      </c>
      <c r="J15" s="49"/>
      <c r="K15" s="47" t="s">
        <v>174</v>
      </c>
      <c r="L15" s="48">
        <v>0</v>
      </c>
      <c r="M15" s="49"/>
      <c r="N15" s="47" t="s">
        <v>177</v>
      </c>
      <c r="O15" s="48">
        <v>0.79166666666666663</v>
      </c>
      <c r="P15" s="49"/>
      <c r="Q15" s="47" t="s">
        <v>177</v>
      </c>
      <c r="R15" s="48">
        <v>0.91666666666666663</v>
      </c>
      <c r="S15" s="5"/>
      <c r="T15" s="10"/>
      <c r="V15" s="5"/>
      <c r="W15" s="10"/>
      <c r="Y15" s="5"/>
      <c r="Z15" s="10"/>
      <c r="AB15" s="5"/>
      <c r="AC15" s="10"/>
      <c r="AE15" s="5"/>
      <c r="AF15" s="10"/>
    </row>
    <row r="16" spans="2:32" s="8" customFormat="1" x14ac:dyDescent="0.25">
      <c r="B16" s="30" t="s">
        <v>75</v>
      </c>
      <c r="C16" s="30" t="s">
        <v>105</v>
      </c>
      <c r="D16" s="31"/>
      <c r="E16" s="30" t="s">
        <v>77</v>
      </c>
      <c r="F16" s="30" t="s">
        <v>78</v>
      </c>
      <c r="G16" s="32"/>
      <c r="H16" s="30" t="s">
        <v>0</v>
      </c>
      <c r="I16" s="30" t="s">
        <v>81</v>
      </c>
      <c r="J16" s="31"/>
      <c r="K16" s="30" t="s">
        <v>82</v>
      </c>
      <c r="L16" s="30" t="s">
        <v>107</v>
      </c>
      <c r="M16" s="31"/>
      <c r="N16" s="30" t="s">
        <v>84</v>
      </c>
      <c r="O16" s="30" t="s">
        <v>4</v>
      </c>
      <c r="P16" s="31"/>
      <c r="Q16" s="30" t="s">
        <v>86</v>
      </c>
      <c r="R16" s="30" t="s">
        <v>87</v>
      </c>
      <c r="S16" s="11"/>
      <c r="T16" s="11"/>
      <c r="V16" s="11"/>
      <c r="W16" s="11"/>
      <c r="Y16" s="11"/>
      <c r="Z16" s="11"/>
      <c r="AB16" s="11"/>
      <c r="AC16" s="11"/>
      <c r="AE16" s="11"/>
      <c r="AF16" s="11"/>
    </row>
    <row r="17" spans="2:32" x14ac:dyDescent="0.25">
      <c r="B17" s="33"/>
      <c r="C17" s="33"/>
      <c r="D17" s="28"/>
      <c r="E17" s="33"/>
      <c r="F17" s="33"/>
      <c r="G17" s="29"/>
      <c r="H17" s="33"/>
      <c r="I17" s="33"/>
      <c r="J17" s="28"/>
      <c r="K17" s="33"/>
      <c r="L17" s="33"/>
      <c r="M17" s="28"/>
      <c r="N17" s="33"/>
      <c r="O17" s="33"/>
      <c r="P17" s="28"/>
      <c r="Q17" s="33"/>
      <c r="R17" s="33"/>
      <c r="S17" s="1"/>
      <c r="T17" s="1"/>
      <c r="V17" s="1"/>
      <c r="W17" s="1"/>
      <c r="Y17" s="1"/>
      <c r="Z17" s="1"/>
      <c r="AB17" s="1"/>
      <c r="AC17" s="1"/>
      <c r="AE17" s="1"/>
      <c r="AF17" s="1"/>
    </row>
    <row r="18" spans="2:32" x14ac:dyDescent="0.25">
      <c r="B18" s="34"/>
      <c r="C18" s="34"/>
      <c r="D18" s="28"/>
      <c r="E18" s="34"/>
      <c r="F18" s="34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2:32" x14ac:dyDescent="0.25">
      <c r="B19" s="56" t="s">
        <v>14</v>
      </c>
      <c r="C19" s="56"/>
      <c r="D19" s="28"/>
      <c r="E19" s="56" t="s">
        <v>18</v>
      </c>
      <c r="F19" s="56"/>
      <c r="G19" s="29"/>
      <c r="H19" s="56" t="s">
        <v>22</v>
      </c>
      <c r="I19" s="56"/>
      <c r="J19" s="28"/>
      <c r="K19" s="56" t="s">
        <v>20</v>
      </c>
      <c r="L19" s="56"/>
      <c r="M19" s="28"/>
      <c r="N19" s="56" t="s">
        <v>16</v>
      </c>
      <c r="O19" s="56"/>
      <c r="P19" s="28"/>
      <c r="Q19" s="54" t="s">
        <v>25</v>
      </c>
      <c r="R19" s="55"/>
      <c r="S19" s="61"/>
      <c r="T19" s="61"/>
      <c r="V19" s="61"/>
      <c r="W19" s="61"/>
      <c r="Y19" s="61"/>
      <c r="Z19" s="61"/>
      <c r="AB19" s="61"/>
      <c r="AC19" s="61"/>
      <c r="AE19" s="61"/>
      <c r="AF19" s="61"/>
    </row>
    <row r="20" spans="2:32" x14ac:dyDescent="0.25">
      <c r="B20" s="47">
        <v>46191</v>
      </c>
      <c r="C20" s="48">
        <v>0.5</v>
      </c>
      <c r="D20" s="49"/>
      <c r="E20" s="47">
        <v>46191</v>
      </c>
      <c r="F20" s="48">
        <v>0.625</v>
      </c>
      <c r="G20" s="50"/>
      <c r="H20" s="47" t="s">
        <v>178</v>
      </c>
      <c r="I20" s="48">
        <v>0.75</v>
      </c>
      <c r="J20" s="49"/>
      <c r="K20" s="47">
        <v>46192</v>
      </c>
      <c r="L20" s="48">
        <v>0.625</v>
      </c>
      <c r="M20" s="49"/>
      <c r="N20" s="47">
        <v>46193</v>
      </c>
      <c r="O20" s="48">
        <v>0.66666666666666663</v>
      </c>
      <c r="P20" s="49"/>
      <c r="Q20" s="47">
        <v>46193</v>
      </c>
      <c r="R20" s="48">
        <v>0.54166666666666663</v>
      </c>
      <c r="S20" s="5"/>
      <c r="T20" s="10"/>
      <c r="V20" s="5"/>
      <c r="W20" s="10"/>
      <c r="Y20" s="5"/>
      <c r="Z20" s="10"/>
      <c r="AB20" s="5"/>
      <c r="AC20" s="10"/>
      <c r="AE20" s="5"/>
      <c r="AF20" s="10"/>
    </row>
    <row r="21" spans="2:32" s="8" customFormat="1" x14ac:dyDescent="0.25">
      <c r="B21" s="30" t="s">
        <v>105</v>
      </c>
      <c r="C21" s="30" t="s">
        <v>73</v>
      </c>
      <c r="D21" s="31"/>
      <c r="E21" s="30" t="s">
        <v>78</v>
      </c>
      <c r="F21" s="30" t="s">
        <v>106</v>
      </c>
      <c r="G21" s="32"/>
      <c r="H21" s="30" t="s">
        <v>81</v>
      </c>
      <c r="I21" s="30" t="s">
        <v>80</v>
      </c>
      <c r="J21" s="31"/>
      <c r="K21" s="30" t="s">
        <v>1</v>
      </c>
      <c r="L21" s="30" t="s">
        <v>82</v>
      </c>
      <c r="M21" s="31"/>
      <c r="N21" s="30" t="s">
        <v>83</v>
      </c>
      <c r="O21" s="30" t="s">
        <v>84</v>
      </c>
      <c r="P21" s="31"/>
      <c r="Q21" s="30" t="s">
        <v>85</v>
      </c>
      <c r="R21" s="30" t="s">
        <v>86</v>
      </c>
      <c r="S21" s="11"/>
      <c r="T21" s="11"/>
      <c r="V21" s="11"/>
      <c r="W21" s="11"/>
      <c r="Y21" s="11"/>
      <c r="Z21" s="11"/>
      <c r="AB21" s="11"/>
      <c r="AC21" s="11"/>
      <c r="AE21" s="11"/>
      <c r="AF21" s="11"/>
    </row>
    <row r="22" spans="2:32" x14ac:dyDescent="0.25">
      <c r="B22" s="33"/>
      <c r="C22" s="33"/>
      <c r="D22" s="28"/>
      <c r="E22" s="33"/>
      <c r="F22" s="33"/>
      <c r="G22" s="29"/>
      <c r="H22" s="33"/>
      <c r="I22" s="33"/>
      <c r="J22" s="28"/>
      <c r="K22" s="33"/>
      <c r="L22" s="33"/>
      <c r="M22" s="28"/>
      <c r="N22" s="33"/>
      <c r="O22" s="33"/>
      <c r="P22" s="28"/>
      <c r="Q22" s="33"/>
      <c r="R22" s="33"/>
      <c r="S22" s="1"/>
      <c r="T22" s="1"/>
      <c r="V22" s="1"/>
      <c r="W22" s="1"/>
      <c r="Y22" s="1"/>
      <c r="Z22" s="1"/>
      <c r="AB22" s="1"/>
      <c r="AC22" s="1"/>
      <c r="AE22" s="1"/>
      <c r="AF22" s="1"/>
    </row>
    <row r="23" spans="2:32" x14ac:dyDescent="0.25">
      <c r="B23" s="34"/>
      <c r="C23" s="34"/>
      <c r="D23" s="28"/>
      <c r="E23" s="34"/>
      <c r="F23" s="34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spans="2:32" x14ac:dyDescent="0.25">
      <c r="B24" s="56" t="s">
        <v>13</v>
      </c>
      <c r="C24" s="56"/>
      <c r="D24" s="28"/>
      <c r="E24" s="56" t="s">
        <v>19</v>
      </c>
      <c r="F24" s="56"/>
      <c r="G24" s="29"/>
      <c r="H24" s="56" t="s">
        <v>23</v>
      </c>
      <c r="I24" s="56"/>
      <c r="J24" s="28"/>
      <c r="K24" s="56" t="s">
        <v>17</v>
      </c>
      <c r="L24" s="56"/>
      <c r="M24" s="28"/>
      <c r="N24" s="56" t="s">
        <v>143</v>
      </c>
      <c r="O24" s="56"/>
      <c r="P24" s="28"/>
      <c r="Q24" s="54" t="s">
        <v>15</v>
      </c>
      <c r="R24" s="55"/>
      <c r="S24" s="61"/>
      <c r="T24" s="61"/>
      <c r="V24" s="61"/>
      <c r="W24" s="61"/>
      <c r="Y24" s="61"/>
      <c r="Z24" s="61"/>
      <c r="AB24" s="61"/>
      <c r="AC24" s="61"/>
      <c r="AE24" s="61"/>
      <c r="AF24" s="61"/>
    </row>
    <row r="25" spans="2:32" x14ac:dyDescent="0.25">
      <c r="B25" s="47" t="s">
        <v>179</v>
      </c>
      <c r="C25" s="48">
        <v>0.875</v>
      </c>
      <c r="D25" s="49"/>
      <c r="E25" s="47" t="s">
        <v>179</v>
      </c>
      <c r="F25" s="48">
        <v>0.75</v>
      </c>
      <c r="G25" s="50"/>
      <c r="H25" s="47" t="s">
        <v>178</v>
      </c>
      <c r="I25" s="48">
        <v>0.875</v>
      </c>
      <c r="J25" s="49"/>
      <c r="K25" s="47" t="s">
        <v>178</v>
      </c>
      <c r="L25" s="48">
        <v>0</v>
      </c>
      <c r="M25" s="49"/>
      <c r="N25" s="47" t="s">
        <v>180</v>
      </c>
      <c r="O25" s="48">
        <v>0.83333333333333337</v>
      </c>
      <c r="P25" s="49"/>
      <c r="Q25" s="47" t="s">
        <v>180</v>
      </c>
      <c r="R25" s="48">
        <v>0</v>
      </c>
      <c r="S25" s="5"/>
      <c r="T25" s="10"/>
      <c r="V25" s="5"/>
      <c r="W25" s="10"/>
      <c r="Y25" s="5"/>
      <c r="Z25" s="10"/>
      <c r="AB25" s="5"/>
      <c r="AC25" s="10"/>
      <c r="AE25" s="5"/>
      <c r="AF25" s="10"/>
    </row>
    <row r="26" spans="2:32" s="8" customFormat="1" x14ac:dyDescent="0.25">
      <c r="B26" s="30" t="s">
        <v>72</v>
      </c>
      <c r="C26" s="30" t="s">
        <v>75</v>
      </c>
      <c r="D26" s="31"/>
      <c r="E26" s="30" t="s">
        <v>74</v>
      </c>
      <c r="F26" s="30" t="s">
        <v>77</v>
      </c>
      <c r="G26" s="32"/>
      <c r="H26" s="30" t="s">
        <v>79</v>
      </c>
      <c r="I26" s="30" t="s">
        <v>0</v>
      </c>
      <c r="J26" s="31"/>
      <c r="K26" s="30" t="s">
        <v>107</v>
      </c>
      <c r="L26" s="30" t="s">
        <v>2</v>
      </c>
      <c r="M26" s="31"/>
      <c r="N26" s="30" t="s">
        <v>4</v>
      </c>
      <c r="O26" s="30" t="s">
        <v>3</v>
      </c>
      <c r="P26" s="31"/>
      <c r="Q26" s="30" t="s">
        <v>87</v>
      </c>
      <c r="R26" s="30" t="s">
        <v>5</v>
      </c>
      <c r="S26" s="11"/>
      <c r="T26" s="11"/>
      <c r="V26" s="11"/>
      <c r="W26" s="11"/>
      <c r="Y26" s="11"/>
      <c r="Z26" s="11"/>
      <c r="AB26" s="11"/>
      <c r="AC26" s="11"/>
      <c r="AE26" s="11"/>
      <c r="AF26" s="11"/>
    </row>
    <row r="27" spans="2:32" x14ac:dyDescent="0.25">
      <c r="B27" s="33"/>
      <c r="C27" s="33"/>
      <c r="D27" s="28"/>
      <c r="E27" s="33"/>
      <c r="F27" s="33"/>
      <c r="G27" s="29"/>
      <c r="H27" s="33"/>
      <c r="I27" s="33"/>
      <c r="J27" s="28"/>
      <c r="K27" s="33"/>
      <c r="L27" s="33"/>
      <c r="M27" s="28"/>
      <c r="N27" s="33"/>
      <c r="O27" s="33"/>
      <c r="P27" s="28"/>
      <c r="Q27" s="33"/>
      <c r="R27" s="33"/>
      <c r="S27" s="1"/>
      <c r="T27" s="1"/>
      <c r="V27" s="1"/>
      <c r="W27" s="1"/>
      <c r="Y27" s="1"/>
      <c r="Z27" s="1"/>
      <c r="AB27" s="1"/>
      <c r="AC27" s="1"/>
      <c r="AE27" s="1"/>
      <c r="AF27" s="1"/>
    </row>
    <row r="28" spans="2:32" x14ac:dyDescent="0.25">
      <c r="B28" s="34"/>
      <c r="C28" s="34"/>
      <c r="D28" s="28"/>
      <c r="E28" s="34"/>
      <c r="F28" s="34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spans="2:32" x14ac:dyDescent="0.25">
      <c r="B29" s="56" t="s">
        <v>142</v>
      </c>
      <c r="C29" s="56"/>
      <c r="D29" s="28"/>
      <c r="E29" s="56" t="s">
        <v>19</v>
      </c>
      <c r="F29" s="56"/>
      <c r="G29" s="29"/>
      <c r="H29" s="56" t="s">
        <v>24</v>
      </c>
      <c r="I29" s="56"/>
      <c r="J29" s="28"/>
      <c r="K29" s="56" t="s">
        <v>18</v>
      </c>
      <c r="L29" s="56"/>
      <c r="M29" s="28"/>
      <c r="N29" s="56" t="s">
        <v>23</v>
      </c>
      <c r="O29" s="56"/>
      <c r="P29" s="28"/>
      <c r="Q29" s="54" t="s">
        <v>26</v>
      </c>
      <c r="R29" s="55"/>
      <c r="S29" s="61"/>
      <c r="T29" s="61"/>
      <c r="V29" s="61"/>
      <c r="W29" s="61"/>
      <c r="Y29" s="61"/>
      <c r="Z29" s="61"/>
      <c r="AB29" s="61"/>
      <c r="AC29" s="61"/>
      <c r="AE29" s="61"/>
      <c r="AF29" s="61"/>
    </row>
    <row r="30" spans="2:32" x14ac:dyDescent="0.25">
      <c r="B30" s="47" t="s">
        <v>181</v>
      </c>
      <c r="C30" s="48">
        <v>0.875</v>
      </c>
      <c r="D30" s="49"/>
      <c r="E30" s="47">
        <v>46197</v>
      </c>
      <c r="F30" s="48">
        <v>0.625</v>
      </c>
      <c r="G30" s="50"/>
      <c r="H30" s="47" t="s">
        <v>181</v>
      </c>
      <c r="I30" s="48">
        <v>0.75</v>
      </c>
      <c r="J30" s="49"/>
      <c r="K30" s="47" t="s">
        <v>182</v>
      </c>
      <c r="L30" s="48">
        <v>0.91666666666666663</v>
      </c>
      <c r="M30" s="49"/>
      <c r="N30" s="47">
        <v>46198</v>
      </c>
      <c r="O30" s="48">
        <v>0.66666666666666663</v>
      </c>
      <c r="P30" s="49"/>
      <c r="Q30" s="47" t="s">
        <v>182</v>
      </c>
      <c r="R30" s="48">
        <v>0.79166666666666663</v>
      </c>
      <c r="S30" s="5"/>
      <c r="T30" s="10"/>
      <c r="V30" s="5"/>
      <c r="W30" s="10"/>
      <c r="Y30" s="5"/>
      <c r="Z30" s="10"/>
      <c r="AB30" s="5"/>
      <c r="AC30" s="10"/>
      <c r="AE30" s="5"/>
      <c r="AF30" s="10"/>
    </row>
    <row r="31" spans="2:32" s="8" customFormat="1" x14ac:dyDescent="0.25">
      <c r="B31" s="30" t="s">
        <v>105</v>
      </c>
      <c r="C31" s="30" t="s">
        <v>72</v>
      </c>
      <c r="D31" s="31"/>
      <c r="E31" s="30" t="s">
        <v>78</v>
      </c>
      <c r="F31" s="30" t="s">
        <v>74</v>
      </c>
      <c r="G31" s="32"/>
      <c r="H31" s="30" t="s">
        <v>81</v>
      </c>
      <c r="I31" s="30" t="s">
        <v>79</v>
      </c>
      <c r="J31" s="31"/>
      <c r="K31" s="30" t="s">
        <v>107</v>
      </c>
      <c r="L31" s="30" t="s">
        <v>1</v>
      </c>
      <c r="M31" s="31"/>
      <c r="N31" s="30" t="s">
        <v>3</v>
      </c>
      <c r="O31" s="30" t="s">
        <v>84</v>
      </c>
      <c r="P31" s="31"/>
      <c r="Q31" s="30" t="s">
        <v>5</v>
      </c>
      <c r="R31" s="30" t="s">
        <v>86</v>
      </c>
      <c r="S31" s="11"/>
      <c r="T31" s="11"/>
      <c r="V31" s="11"/>
      <c r="W31" s="11"/>
      <c r="Y31" s="11"/>
      <c r="Z31" s="11"/>
      <c r="AB31" s="11"/>
      <c r="AC31" s="11"/>
      <c r="AE31" s="11"/>
      <c r="AF31" s="11"/>
    </row>
    <row r="32" spans="2:32" x14ac:dyDescent="0.25">
      <c r="B32" s="33"/>
      <c r="C32" s="33"/>
      <c r="D32" s="28"/>
      <c r="E32" s="33"/>
      <c r="F32" s="33"/>
      <c r="G32" s="29"/>
      <c r="H32" s="33"/>
      <c r="I32" s="33"/>
      <c r="J32" s="28"/>
      <c r="K32" s="33"/>
      <c r="L32" s="33"/>
      <c r="M32" s="28"/>
      <c r="N32" s="33"/>
      <c r="O32" s="33"/>
      <c r="P32" s="28"/>
      <c r="Q32" s="33"/>
      <c r="R32" s="33"/>
      <c r="S32" s="1"/>
      <c r="T32" s="1"/>
      <c r="V32" s="1"/>
      <c r="W32" s="1"/>
      <c r="Y32" s="1"/>
      <c r="Z32" s="1"/>
      <c r="AB32" s="1"/>
      <c r="AC32" s="1"/>
      <c r="AE32" s="1"/>
      <c r="AF32" s="1"/>
    </row>
    <row r="33" spans="1:32" x14ac:dyDescent="0.25">
      <c r="B33" s="34"/>
      <c r="C33" s="34"/>
      <c r="D33" s="28"/>
      <c r="E33" s="34"/>
      <c r="F33" s="34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</row>
    <row r="34" spans="1:32" x14ac:dyDescent="0.25">
      <c r="B34" s="56" t="s">
        <v>15</v>
      </c>
      <c r="C34" s="56"/>
      <c r="D34" s="28"/>
      <c r="E34" s="56" t="s">
        <v>20</v>
      </c>
      <c r="F34" s="56"/>
      <c r="G34" s="29"/>
      <c r="H34" s="56" t="s">
        <v>14</v>
      </c>
      <c r="I34" s="56"/>
      <c r="J34" s="28"/>
      <c r="K34" s="56" t="s">
        <v>17</v>
      </c>
      <c r="L34" s="56"/>
      <c r="M34" s="28"/>
      <c r="N34" s="56" t="s">
        <v>21</v>
      </c>
      <c r="O34" s="56"/>
      <c r="P34" s="28"/>
      <c r="Q34" s="54" t="s">
        <v>143</v>
      </c>
      <c r="R34" s="55"/>
      <c r="S34" s="61"/>
      <c r="T34" s="61"/>
      <c r="V34" s="61"/>
      <c r="W34" s="61"/>
      <c r="Y34" s="61"/>
      <c r="Z34" s="61"/>
      <c r="AB34" s="61"/>
      <c r="AC34" s="61"/>
      <c r="AE34" s="61"/>
      <c r="AF34" s="61"/>
    </row>
    <row r="35" spans="1:32" x14ac:dyDescent="0.25">
      <c r="B35" s="47" t="s">
        <v>181</v>
      </c>
      <c r="C35" s="48">
        <v>0.875</v>
      </c>
      <c r="D35" s="49"/>
      <c r="E35" s="47">
        <v>46197</v>
      </c>
      <c r="F35" s="48">
        <v>0.625</v>
      </c>
      <c r="G35" s="50"/>
      <c r="H35" s="47" t="s">
        <v>181</v>
      </c>
      <c r="I35" s="48">
        <v>0.75</v>
      </c>
      <c r="J35" s="49"/>
      <c r="K35" s="47" t="s">
        <v>182</v>
      </c>
      <c r="L35" s="48">
        <v>0.91666666666666663</v>
      </c>
      <c r="M35" s="49"/>
      <c r="N35" s="47">
        <v>46198</v>
      </c>
      <c r="O35" s="48">
        <v>0.66666666666666663</v>
      </c>
      <c r="P35" s="49"/>
      <c r="Q35" s="47" t="s">
        <v>182</v>
      </c>
      <c r="R35" s="48">
        <v>0.79166666666666663</v>
      </c>
      <c r="S35" s="5"/>
      <c r="T35" s="10"/>
      <c r="V35" s="5"/>
      <c r="W35" s="10"/>
      <c r="Y35" s="5"/>
      <c r="Z35" s="10"/>
      <c r="AB35" s="5"/>
      <c r="AC35" s="10"/>
      <c r="AE35" s="5"/>
      <c r="AF35" s="10"/>
    </row>
    <row r="36" spans="1:32" s="8" customFormat="1" x14ac:dyDescent="0.25">
      <c r="B36" s="30" t="s">
        <v>73</v>
      </c>
      <c r="C36" s="30" t="s">
        <v>75</v>
      </c>
      <c r="D36" s="31"/>
      <c r="E36" s="30" t="s">
        <v>106</v>
      </c>
      <c r="F36" s="30" t="s">
        <v>77</v>
      </c>
      <c r="G36" s="32"/>
      <c r="H36" s="30" t="s">
        <v>80</v>
      </c>
      <c r="I36" s="30" t="s">
        <v>0</v>
      </c>
      <c r="J36" s="31"/>
      <c r="K36" s="30" t="s">
        <v>2</v>
      </c>
      <c r="L36" s="30" t="s">
        <v>82</v>
      </c>
      <c r="M36" s="31"/>
      <c r="N36" s="30" t="s">
        <v>4</v>
      </c>
      <c r="O36" s="30" t="s">
        <v>83</v>
      </c>
      <c r="P36" s="31"/>
      <c r="Q36" s="30" t="s">
        <v>87</v>
      </c>
      <c r="R36" s="30" t="s">
        <v>85</v>
      </c>
      <c r="S36" s="11"/>
      <c r="T36" s="11"/>
      <c r="V36" s="11"/>
      <c r="W36" s="11"/>
      <c r="Y36" s="11"/>
      <c r="Z36" s="11"/>
      <c r="AB36" s="11"/>
      <c r="AC36" s="11"/>
      <c r="AE36" s="11"/>
      <c r="AF36" s="11"/>
    </row>
    <row r="37" spans="1:32" x14ac:dyDescent="0.25">
      <c r="B37" s="33"/>
      <c r="C37" s="33"/>
      <c r="D37" s="28"/>
      <c r="E37" s="33"/>
      <c r="F37" s="33"/>
      <c r="G37" s="29"/>
      <c r="H37" s="33"/>
      <c r="I37" s="33"/>
      <c r="J37" s="28"/>
      <c r="K37" s="33"/>
      <c r="L37" s="33"/>
      <c r="M37" s="28"/>
      <c r="N37" s="33"/>
      <c r="O37" s="33"/>
      <c r="P37" s="28"/>
      <c r="Q37" s="33"/>
      <c r="R37" s="33"/>
      <c r="S37" s="1"/>
      <c r="T37" s="1"/>
      <c r="V37" s="1"/>
      <c r="W37" s="1"/>
      <c r="Y37" s="1"/>
      <c r="Z37" s="1"/>
      <c r="AB37" s="1"/>
      <c r="AC37" s="1"/>
      <c r="AE37" s="1"/>
      <c r="AF37" s="1"/>
    </row>
    <row r="38" spans="1:32" x14ac:dyDescent="0.25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spans="1:32" x14ac:dyDescent="0.25">
      <c r="B39" s="51" t="s">
        <v>108</v>
      </c>
      <c r="C39" s="51"/>
      <c r="D39" s="28"/>
      <c r="E39" s="51" t="s">
        <v>108</v>
      </c>
      <c r="F39" s="51"/>
      <c r="G39" s="28"/>
      <c r="H39" s="51" t="s">
        <v>108</v>
      </c>
      <c r="I39" s="51"/>
      <c r="J39" s="28"/>
      <c r="K39" s="51" t="s">
        <v>108</v>
      </c>
      <c r="L39" s="51"/>
      <c r="M39" s="28"/>
      <c r="N39" s="51" t="s">
        <v>108</v>
      </c>
      <c r="O39" s="51"/>
      <c r="P39" s="28"/>
      <c r="Q39" s="51" t="s">
        <v>108</v>
      </c>
      <c r="R39" s="51"/>
      <c r="S39" s="61"/>
      <c r="T39" s="61"/>
      <c r="V39" s="61"/>
      <c r="W39" s="61"/>
      <c r="Y39" s="61"/>
      <c r="Z39" s="61"/>
      <c r="AB39" s="61"/>
      <c r="AC39" s="61"/>
      <c r="AE39" s="61"/>
      <c r="AF39" s="61"/>
    </row>
    <row r="40" spans="1:32" x14ac:dyDescent="0.25">
      <c r="A40" s="42" t="s">
        <v>27</v>
      </c>
      <c r="B40" s="52"/>
      <c r="C40" s="52"/>
      <c r="D40" s="42" t="s">
        <v>27</v>
      </c>
      <c r="E40" s="52"/>
      <c r="F40" s="52"/>
      <c r="G40" s="42" t="s">
        <v>27</v>
      </c>
      <c r="H40" s="52"/>
      <c r="I40" s="52"/>
      <c r="J40" s="42" t="s">
        <v>27</v>
      </c>
      <c r="K40" s="52"/>
      <c r="L40" s="52"/>
      <c r="M40" s="42" t="s">
        <v>27</v>
      </c>
      <c r="N40" s="52"/>
      <c r="O40" s="52"/>
      <c r="P40" s="42" t="s">
        <v>27</v>
      </c>
      <c r="Q40" s="52"/>
      <c r="R40" s="52"/>
      <c r="S40" s="62"/>
      <c r="T40" s="62"/>
      <c r="V40" s="62"/>
      <c r="W40" s="62"/>
      <c r="Y40" s="62"/>
      <c r="Z40" s="62"/>
      <c r="AB40" s="62"/>
      <c r="AC40" s="62"/>
      <c r="AE40" s="62"/>
      <c r="AF40" s="62"/>
    </row>
    <row r="41" spans="1:32" x14ac:dyDescent="0.25">
      <c r="A41" s="42" t="s">
        <v>28</v>
      </c>
      <c r="B41" s="53"/>
      <c r="C41" s="53"/>
      <c r="D41" s="42" t="s">
        <v>28</v>
      </c>
      <c r="E41" s="53"/>
      <c r="F41" s="53"/>
      <c r="G41" s="42" t="s">
        <v>28</v>
      </c>
      <c r="H41" s="53"/>
      <c r="I41" s="53"/>
      <c r="J41" s="42" t="s">
        <v>28</v>
      </c>
      <c r="K41" s="53"/>
      <c r="L41" s="53"/>
      <c r="M41" s="42" t="s">
        <v>28</v>
      </c>
      <c r="N41" s="53"/>
      <c r="O41" s="53"/>
      <c r="P41" s="42" t="s">
        <v>28</v>
      </c>
      <c r="Q41" s="53"/>
      <c r="R41" s="53"/>
      <c r="S41" s="62"/>
      <c r="T41" s="62"/>
      <c r="V41" s="62"/>
      <c r="W41" s="62"/>
      <c r="Y41" s="62"/>
      <c r="Z41" s="62"/>
      <c r="AB41" s="62"/>
      <c r="AC41" s="62"/>
      <c r="AE41" s="62"/>
      <c r="AF41" s="62"/>
    </row>
    <row r="42" spans="1:32" x14ac:dyDescent="0.25">
      <c r="A42" s="42" t="s">
        <v>29</v>
      </c>
      <c r="B42" s="53"/>
      <c r="C42" s="53"/>
      <c r="D42" s="42" t="s">
        <v>29</v>
      </c>
      <c r="E42" s="53"/>
      <c r="F42" s="53"/>
      <c r="G42" s="42" t="s">
        <v>29</v>
      </c>
      <c r="H42" s="53"/>
      <c r="I42" s="53"/>
      <c r="J42" s="42" t="s">
        <v>29</v>
      </c>
      <c r="K42" s="53"/>
      <c r="L42" s="53"/>
      <c r="M42" s="42" t="s">
        <v>29</v>
      </c>
      <c r="N42" s="53"/>
      <c r="O42" s="53"/>
      <c r="P42" s="42" t="s">
        <v>29</v>
      </c>
      <c r="Q42" s="53"/>
      <c r="R42" s="53"/>
      <c r="S42" s="62"/>
      <c r="T42" s="62"/>
      <c r="V42" s="62"/>
      <c r="W42" s="62"/>
      <c r="Y42" s="62"/>
      <c r="Z42" s="62"/>
      <c r="AB42" s="62"/>
      <c r="AC42" s="62"/>
      <c r="AE42" s="62"/>
      <c r="AF42" s="62"/>
    </row>
    <row r="43" spans="1:32" x14ac:dyDescent="0.25">
      <c r="A43" s="42" t="s">
        <v>30</v>
      </c>
      <c r="B43" s="53"/>
      <c r="C43" s="53"/>
      <c r="D43" s="42" t="s">
        <v>30</v>
      </c>
      <c r="E43" s="53"/>
      <c r="F43" s="53"/>
      <c r="G43" s="42" t="s">
        <v>30</v>
      </c>
      <c r="H43" s="53"/>
      <c r="I43" s="53"/>
      <c r="J43" s="42" t="s">
        <v>30</v>
      </c>
      <c r="K43" s="53"/>
      <c r="L43" s="53"/>
      <c r="M43" s="42" t="s">
        <v>30</v>
      </c>
      <c r="N43" s="53"/>
      <c r="O43" s="53"/>
      <c r="P43" s="42" t="s">
        <v>30</v>
      </c>
      <c r="Q43" s="53"/>
      <c r="R43" s="53"/>
      <c r="S43" s="62"/>
      <c r="T43" s="62"/>
      <c r="V43" s="62"/>
      <c r="W43" s="62"/>
      <c r="Y43" s="62"/>
      <c r="Z43" s="62"/>
      <c r="AB43" s="62"/>
      <c r="AC43" s="62"/>
      <c r="AE43" s="62"/>
      <c r="AF43" s="62"/>
    </row>
    <row r="44" spans="1:32" x14ac:dyDescent="0.25">
      <c r="B44" s="9"/>
      <c r="C44" s="9"/>
      <c r="E44" s="9"/>
      <c r="F44" s="9"/>
      <c r="H44" s="9"/>
      <c r="I44" s="9"/>
      <c r="K44" s="9"/>
      <c r="L44" s="9"/>
      <c r="N44" s="9"/>
      <c r="O44" s="9"/>
      <c r="Q44" s="9"/>
      <c r="R44" s="9"/>
      <c r="S44" s="9"/>
      <c r="T44" s="9"/>
      <c r="V44" s="9"/>
      <c r="W44" s="9"/>
      <c r="Y44" s="9"/>
      <c r="Z44" s="9"/>
      <c r="AB44" s="9"/>
      <c r="AC44" s="9"/>
      <c r="AE44" s="9"/>
      <c r="AF44" s="9"/>
    </row>
    <row r="45" spans="1:32" x14ac:dyDescent="0.25">
      <c r="B45" s="57" t="s">
        <v>67</v>
      </c>
      <c r="C45" s="58"/>
      <c r="E45" s="57" t="s">
        <v>68</v>
      </c>
      <c r="F45" s="58"/>
      <c r="H45" s="57" t="s">
        <v>76</v>
      </c>
      <c r="I45" s="58"/>
      <c r="K45" s="57" t="s">
        <v>69</v>
      </c>
      <c r="L45" s="58"/>
      <c r="N45" s="57" t="s">
        <v>70</v>
      </c>
      <c r="O45" s="58"/>
      <c r="Q45" s="57" t="s">
        <v>71</v>
      </c>
      <c r="R45" s="58"/>
    </row>
    <row r="46" spans="1:32" x14ac:dyDescent="0.25">
      <c r="B46" s="59" t="s">
        <v>88</v>
      </c>
      <c r="C46" s="60"/>
      <c r="E46" s="59" t="s">
        <v>91</v>
      </c>
      <c r="F46" s="60"/>
      <c r="H46" s="59" t="s">
        <v>94</v>
      </c>
      <c r="I46" s="60"/>
      <c r="K46" s="59" t="s">
        <v>97</v>
      </c>
      <c r="L46" s="60"/>
      <c r="N46" s="59" t="s">
        <v>9</v>
      </c>
      <c r="O46" s="60"/>
      <c r="Q46" s="59" t="s">
        <v>10</v>
      </c>
      <c r="R46" s="60"/>
    </row>
    <row r="47" spans="1:32" x14ac:dyDescent="0.25">
      <c r="B47" s="59" t="s">
        <v>89</v>
      </c>
      <c r="C47" s="60"/>
      <c r="E47" s="59" t="s">
        <v>92</v>
      </c>
      <c r="F47" s="60"/>
      <c r="H47" s="59" t="s">
        <v>8</v>
      </c>
      <c r="I47" s="60"/>
      <c r="K47" s="59" t="s">
        <v>98</v>
      </c>
      <c r="L47" s="60"/>
      <c r="N47" s="59" t="s">
        <v>101</v>
      </c>
      <c r="O47" s="60"/>
      <c r="Q47" s="59" t="s">
        <v>104</v>
      </c>
      <c r="R47" s="60"/>
    </row>
    <row r="48" spans="1:32" x14ac:dyDescent="0.25">
      <c r="B48" s="59" t="s">
        <v>6</v>
      </c>
      <c r="C48" s="60"/>
      <c r="E48" s="59" t="s">
        <v>93</v>
      </c>
      <c r="F48" s="60"/>
      <c r="H48" s="59" t="s">
        <v>95</v>
      </c>
      <c r="I48" s="60"/>
      <c r="K48" s="59" t="s">
        <v>99</v>
      </c>
      <c r="L48" s="60"/>
      <c r="N48" s="59" t="s">
        <v>102</v>
      </c>
      <c r="O48" s="60"/>
      <c r="Q48" s="59" t="s">
        <v>11</v>
      </c>
      <c r="R48" s="60"/>
    </row>
    <row r="49" spans="2:18" x14ac:dyDescent="0.25">
      <c r="B49" s="59" t="s">
        <v>90</v>
      </c>
      <c r="C49" s="60"/>
      <c r="E49" s="59" t="s">
        <v>7</v>
      </c>
      <c r="F49" s="60"/>
      <c r="H49" s="59" t="s">
        <v>96</v>
      </c>
      <c r="I49" s="60"/>
      <c r="K49" s="59" t="s">
        <v>100</v>
      </c>
      <c r="L49" s="60"/>
      <c r="N49" s="59" t="s">
        <v>103</v>
      </c>
      <c r="O49" s="60"/>
      <c r="Q49" s="59" t="s">
        <v>12</v>
      </c>
      <c r="R49" s="60"/>
    </row>
    <row r="51" spans="2:18" x14ac:dyDescent="0.25">
      <c r="B51" s="54" t="s">
        <v>20</v>
      </c>
      <c r="C51" s="55"/>
      <c r="D51" s="28"/>
      <c r="E51" s="54" t="s">
        <v>14</v>
      </c>
      <c r="F51" s="55"/>
      <c r="G51" s="28"/>
      <c r="H51" s="56" t="s">
        <v>21</v>
      </c>
      <c r="I51" s="56"/>
      <c r="J51" s="28"/>
      <c r="K51" s="54" t="s">
        <v>143</v>
      </c>
      <c r="L51" s="55"/>
      <c r="M51" s="28"/>
      <c r="N51" s="54" t="s">
        <v>25</v>
      </c>
      <c r="O51" s="55"/>
      <c r="P51" s="28"/>
      <c r="Q51" s="54" t="s">
        <v>26</v>
      </c>
      <c r="R51" s="55"/>
    </row>
    <row r="52" spans="2:18" x14ac:dyDescent="0.25">
      <c r="B52" s="47">
        <v>46188</v>
      </c>
      <c r="C52" s="48">
        <v>0.625</v>
      </c>
      <c r="D52" s="49"/>
      <c r="E52" s="47">
        <v>46188</v>
      </c>
      <c r="F52" s="48">
        <v>0.5</v>
      </c>
      <c r="G52" s="49"/>
      <c r="H52" s="47">
        <v>46189</v>
      </c>
      <c r="I52" s="48">
        <v>0.625</v>
      </c>
      <c r="J52" s="49"/>
      <c r="K52" s="47" t="s">
        <v>183</v>
      </c>
      <c r="L52" s="48">
        <v>0.875</v>
      </c>
      <c r="M52" s="49"/>
      <c r="N52" s="47">
        <v>46190</v>
      </c>
      <c r="O52" s="48">
        <v>0.54166666666666663</v>
      </c>
      <c r="P52" s="49"/>
      <c r="Q52" s="47">
        <v>46190</v>
      </c>
      <c r="R52" s="48">
        <v>0.66666666666666663</v>
      </c>
    </row>
    <row r="53" spans="2:18" x14ac:dyDescent="0.25">
      <c r="B53" s="30" t="s">
        <v>88</v>
      </c>
      <c r="C53" s="30" t="s">
        <v>89</v>
      </c>
      <c r="D53" s="31"/>
      <c r="E53" s="30" t="s">
        <v>91</v>
      </c>
      <c r="F53" s="30" t="s">
        <v>92</v>
      </c>
      <c r="G53" s="31"/>
      <c r="H53" s="30" t="s">
        <v>94</v>
      </c>
      <c r="I53" s="30" t="s">
        <v>8</v>
      </c>
      <c r="J53" s="31"/>
      <c r="K53" s="30" t="s">
        <v>97</v>
      </c>
      <c r="L53" s="30" t="s">
        <v>98</v>
      </c>
      <c r="M53" s="31"/>
      <c r="N53" s="30" t="s">
        <v>9</v>
      </c>
      <c r="O53" s="30" t="s">
        <v>101</v>
      </c>
      <c r="P53" s="28"/>
      <c r="Q53" s="30" t="s">
        <v>10</v>
      </c>
      <c r="R53" s="30" t="s">
        <v>104</v>
      </c>
    </row>
    <row r="54" spans="2:18" x14ac:dyDescent="0.25">
      <c r="B54" s="33"/>
      <c r="C54" s="33"/>
      <c r="D54" s="28"/>
      <c r="E54" s="33"/>
      <c r="F54" s="33"/>
      <c r="G54" s="28"/>
      <c r="H54" s="33"/>
      <c r="I54" s="33"/>
      <c r="J54" s="28"/>
      <c r="K54" s="33"/>
      <c r="L54" s="33"/>
      <c r="M54" s="28"/>
      <c r="N54" s="33"/>
      <c r="O54" s="33"/>
      <c r="P54" s="28"/>
      <c r="Q54" s="33"/>
      <c r="R54" s="33"/>
    </row>
    <row r="55" spans="2:18" x14ac:dyDescent="0.25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 spans="2:18" x14ac:dyDescent="0.25">
      <c r="B56" s="54" t="s">
        <v>18</v>
      </c>
      <c r="C56" s="55"/>
      <c r="D56" s="28"/>
      <c r="E56" s="54" t="s">
        <v>24</v>
      </c>
      <c r="F56" s="55"/>
      <c r="G56" s="28"/>
      <c r="H56" s="54" t="s">
        <v>22</v>
      </c>
      <c r="I56" s="55"/>
      <c r="J56" s="28"/>
      <c r="K56" s="56" t="s">
        <v>17</v>
      </c>
      <c r="L56" s="56"/>
      <c r="M56" s="28"/>
      <c r="N56" s="54" t="s">
        <v>142</v>
      </c>
      <c r="O56" s="55"/>
      <c r="P56" s="28"/>
      <c r="Q56" s="54" t="s">
        <v>16</v>
      </c>
      <c r="R56" s="55"/>
    </row>
    <row r="57" spans="2:18" x14ac:dyDescent="0.25">
      <c r="B57" s="47" t="s">
        <v>184</v>
      </c>
      <c r="C57" s="48">
        <v>0.875</v>
      </c>
      <c r="D57" s="49"/>
      <c r="E57" s="47" t="s">
        <v>184</v>
      </c>
      <c r="F57" s="48">
        <v>0.75</v>
      </c>
      <c r="G57" s="49"/>
      <c r="H57" s="47" t="s">
        <v>183</v>
      </c>
      <c r="I57" s="48">
        <v>0.75</v>
      </c>
      <c r="J57" s="49"/>
      <c r="K57" s="47" t="s">
        <v>183</v>
      </c>
      <c r="L57" s="48">
        <v>0</v>
      </c>
      <c r="M57" s="49"/>
      <c r="N57" s="47" t="s">
        <v>185</v>
      </c>
      <c r="O57" s="48">
        <v>0.91666666666666663</v>
      </c>
      <c r="P57" s="49"/>
      <c r="Q57" s="47" t="s">
        <v>185</v>
      </c>
      <c r="R57" s="48">
        <v>0.79166666666666663</v>
      </c>
    </row>
    <row r="58" spans="2:18" x14ac:dyDescent="0.25">
      <c r="B58" s="30" t="s">
        <v>6</v>
      </c>
      <c r="C58" s="30" t="s">
        <v>90</v>
      </c>
      <c r="D58" s="31"/>
      <c r="E58" s="35" t="s">
        <v>93</v>
      </c>
      <c r="F58" s="36" t="s">
        <v>7</v>
      </c>
      <c r="G58" s="31"/>
      <c r="H58" s="30" t="s">
        <v>95</v>
      </c>
      <c r="I58" s="30" t="s">
        <v>96</v>
      </c>
      <c r="J58" s="31"/>
      <c r="K58" s="30" t="s">
        <v>99</v>
      </c>
      <c r="L58" s="30" t="s">
        <v>100</v>
      </c>
      <c r="M58" s="31"/>
      <c r="N58" s="30" t="s">
        <v>102</v>
      </c>
      <c r="O58" s="30" t="s">
        <v>103</v>
      </c>
      <c r="P58" s="28"/>
      <c r="Q58" s="30" t="s">
        <v>11</v>
      </c>
      <c r="R58" s="30" t="s">
        <v>12</v>
      </c>
    </row>
    <row r="59" spans="2:18" x14ac:dyDescent="0.25">
      <c r="B59" s="33"/>
      <c r="C59" s="33"/>
      <c r="D59" s="28"/>
      <c r="E59" s="33"/>
      <c r="F59" s="33"/>
      <c r="G59" s="28"/>
      <c r="H59" s="33"/>
      <c r="I59" s="33"/>
      <c r="J59" s="28"/>
      <c r="K59" s="33"/>
      <c r="L59" s="33"/>
      <c r="M59" s="28"/>
      <c r="N59" s="33"/>
      <c r="O59" s="33"/>
      <c r="P59" s="28"/>
      <c r="Q59" s="33"/>
      <c r="R59" s="33"/>
    </row>
    <row r="60" spans="2:18" x14ac:dyDescent="0.25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</row>
    <row r="61" spans="2:18" x14ac:dyDescent="0.25">
      <c r="B61" s="54" t="s">
        <v>18</v>
      </c>
      <c r="C61" s="55"/>
      <c r="D61" s="28"/>
      <c r="E61" s="54" t="s">
        <v>14</v>
      </c>
      <c r="F61" s="55"/>
      <c r="G61" s="28"/>
      <c r="H61" s="54" t="s">
        <v>23</v>
      </c>
      <c r="I61" s="55"/>
      <c r="J61" s="28"/>
      <c r="K61" s="54" t="s">
        <v>26</v>
      </c>
      <c r="L61" s="55"/>
      <c r="M61" s="28"/>
      <c r="N61" s="54" t="s">
        <v>25</v>
      </c>
      <c r="O61" s="55"/>
      <c r="P61" s="28"/>
      <c r="Q61" s="54" t="s">
        <v>22</v>
      </c>
      <c r="R61" s="55"/>
    </row>
    <row r="62" spans="2:18" x14ac:dyDescent="0.25">
      <c r="B62" s="47">
        <v>46194</v>
      </c>
      <c r="C62" s="48">
        <v>0.625</v>
      </c>
      <c r="D62" s="49"/>
      <c r="E62" s="47">
        <v>46194</v>
      </c>
      <c r="F62" s="48">
        <v>0.5</v>
      </c>
      <c r="G62" s="49"/>
      <c r="H62" s="47">
        <v>46195</v>
      </c>
      <c r="I62" s="48">
        <v>0.70833333333333337</v>
      </c>
      <c r="J62" s="49"/>
      <c r="K62" s="47">
        <v>46195</v>
      </c>
      <c r="L62" s="48">
        <v>0.54166666666666663</v>
      </c>
      <c r="M62" s="49"/>
      <c r="N62" s="47">
        <v>46196</v>
      </c>
      <c r="O62" s="48">
        <v>0.54166666666666663</v>
      </c>
      <c r="P62" s="49"/>
      <c r="Q62" s="47">
        <v>46196</v>
      </c>
      <c r="R62" s="48">
        <v>0.66666666666666663</v>
      </c>
    </row>
    <row r="63" spans="2:18" x14ac:dyDescent="0.25">
      <c r="B63" s="30" t="s">
        <v>88</v>
      </c>
      <c r="C63" s="30" t="s">
        <v>6</v>
      </c>
      <c r="D63" s="31"/>
      <c r="E63" s="30" t="s">
        <v>91</v>
      </c>
      <c r="F63" s="30" t="s">
        <v>93</v>
      </c>
      <c r="G63" s="31"/>
      <c r="H63" s="30" t="s">
        <v>94</v>
      </c>
      <c r="I63" s="30" t="s">
        <v>95</v>
      </c>
      <c r="J63" s="31"/>
      <c r="K63" s="30" t="s">
        <v>97</v>
      </c>
      <c r="L63" s="30" t="s">
        <v>99</v>
      </c>
      <c r="M63" s="31"/>
      <c r="N63" s="30" t="s">
        <v>9</v>
      </c>
      <c r="O63" s="30" t="s">
        <v>102</v>
      </c>
      <c r="P63" s="28"/>
      <c r="Q63" s="30" t="s">
        <v>10</v>
      </c>
      <c r="R63" s="30" t="s">
        <v>11</v>
      </c>
    </row>
    <row r="64" spans="2:18" x14ac:dyDescent="0.25">
      <c r="B64" s="33"/>
      <c r="C64" s="33"/>
      <c r="D64" s="28"/>
      <c r="E64" s="33"/>
      <c r="F64" s="33"/>
      <c r="G64" s="28"/>
      <c r="H64" s="33"/>
      <c r="I64" s="33"/>
      <c r="J64" s="28"/>
      <c r="K64" s="33"/>
      <c r="L64" s="33"/>
      <c r="M64" s="28"/>
      <c r="N64" s="33"/>
      <c r="O64" s="33"/>
      <c r="P64" s="28"/>
      <c r="Q64" s="33"/>
      <c r="R64" s="33"/>
    </row>
    <row r="65" spans="2:18" x14ac:dyDescent="0.2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</row>
    <row r="66" spans="2:18" x14ac:dyDescent="0.25">
      <c r="B66" s="54" t="s">
        <v>19</v>
      </c>
      <c r="C66" s="55"/>
      <c r="D66" s="28"/>
      <c r="E66" s="54" t="s">
        <v>24</v>
      </c>
      <c r="F66" s="55"/>
      <c r="G66" s="28"/>
      <c r="H66" s="56" t="s">
        <v>21</v>
      </c>
      <c r="I66" s="56"/>
      <c r="J66" s="28"/>
      <c r="K66" s="56" t="s">
        <v>17</v>
      </c>
      <c r="L66" s="56"/>
      <c r="M66" s="28"/>
      <c r="N66" s="54" t="s">
        <v>13</v>
      </c>
      <c r="O66" s="55"/>
      <c r="P66" s="28"/>
      <c r="Q66" s="54" t="s">
        <v>16</v>
      </c>
      <c r="R66" s="55"/>
    </row>
    <row r="67" spans="2:18" x14ac:dyDescent="0.25">
      <c r="B67" s="47" t="s">
        <v>186</v>
      </c>
      <c r="C67" s="48">
        <v>0.875</v>
      </c>
      <c r="D67" s="49"/>
      <c r="E67" s="47" t="s">
        <v>186</v>
      </c>
      <c r="F67" s="48">
        <v>0.75</v>
      </c>
      <c r="G67" s="49"/>
      <c r="H67" s="47" t="s">
        <v>187</v>
      </c>
      <c r="I67" s="48">
        <v>0.83333333333333337</v>
      </c>
      <c r="J67" s="49"/>
      <c r="K67" s="47" t="s">
        <v>187</v>
      </c>
      <c r="L67" s="48">
        <v>0.95833333333333337</v>
      </c>
      <c r="M67" s="49"/>
      <c r="N67" s="47" t="s">
        <v>188</v>
      </c>
      <c r="O67" s="48">
        <v>0.91666666666666663</v>
      </c>
      <c r="P67" s="49"/>
      <c r="Q67" s="47" t="s">
        <v>188</v>
      </c>
      <c r="R67" s="48">
        <v>0.79166666666666663</v>
      </c>
    </row>
    <row r="68" spans="2:18" x14ac:dyDescent="0.25">
      <c r="B68" s="30" t="s">
        <v>90</v>
      </c>
      <c r="C68" s="30" t="s">
        <v>89</v>
      </c>
      <c r="D68" s="31"/>
      <c r="E68" s="30" t="s">
        <v>7</v>
      </c>
      <c r="F68" s="30" t="s">
        <v>92</v>
      </c>
      <c r="G68" s="31"/>
      <c r="H68" s="30" t="s">
        <v>96</v>
      </c>
      <c r="I68" s="30" t="s">
        <v>8</v>
      </c>
      <c r="J68" s="31"/>
      <c r="K68" s="30" t="s">
        <v>100</v>
      </c>
      <c r="L68" s="30" t="s">
        <v>98</v>
      </c>
      <c r="M68" s="31"/>
      <c r="N68" s="30" t="s">
        <v>103</v>
      </c>
      <c r="O68" s="30" t="s">
        <v>101</v>
      </c>
      <c r="P68" s="28"/>
      <c r="Q68" s="30" t="s">
        <v>12</v>
      </c>
      <c r="R68" s="30" t="s">
        <v>104</v>
      </c>
    </row>
    <row r="69" spans="2:18" x14ac:dyDescent="0.25">
      <c r="B69" s="33"/>
      <c r="C69" s="33"/>
      <c r="D69" s="28"/>
      <c r="E69" s="33"/>
      <c r="F69" s="33"/>
      <c r="G69" s="28"/>
      <c r="H69" s="33"/>
      <c r="I69" s="33"/>
      <c r="J69" s="28"/>
      <c r="K69" s="33"/>
      <c r="L69" s="33"/>
      <c r="M69" s="28"/>
      <c r="N69" s="33"/>
      <c r="O69" s="33"/>
      <c r="P69" s="28"/>
      <c r="Q69" s="33"/>
      <c r="R69" s="33"/>
    </row>
    <row r="70" spans="2:18" x14ac:dyDescent="0.25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</row>
    <row r="71" spans="2:18" x14ac:dyDescent="0.25">
      <c r="B71" s="54" t="s">
        <v>20</v>
      </c>
      <c r="C71" s="55"/>
      <c r="D71" s="28"/>
      <c r="E71" s="54" t="s">
        <v>25</v>
      </c>
      <c r="F71" s="55"/>
      <c r="G71" s="28"/>
      <c r="H71" s="54" t="s">
        <v>22</v>
      </c>
      <c r="I71" s="55"/>
      <c r="J71" s="28"/>
      <c r="K71" s="54" t="s">
        <v>143</v>
      </c>
      <c r="L71" s="55"/>
      <c r="M71" s="28"/>
      <c r="N71" s="54" t="s">
        <v>24</v>
      </c>
      <c r="O71" s="55"/>
      <c r="P71" s="28"/>
      <c r="Q71" s="56" t="s">
        <v>21</v>
      </c>
      <c r="R71" s="56"/>
    </row>
    <row r="72" spans="2:18" x14ac:dyDescent="0.25">
      <c r="B72" s="47" t="s">
        <v>189</v>
      </c>
      <c r="C72" s="48">
        <v>0.95833333333333337</v>
      </c>
      <c r="D72" s="49"/>
      <c r="E72" s="47" t="s">
        <v>189</v>
      </c>
      <c r="F72" s="48">
        <v>0.83333333333333337</v>
      </c>
      <c r="G72" s="49"/>
      <c r="H72" s="47">
        <v>46199</v>
      </c>
      <c r="I72" s="48">
        <v>0.625</v>
      </c>
      <c r="J72" s="49"/>
      <c r="K72" s="47" t="s">
        <v>190</v>
      </c>
      <c r="L72" s="48">
        <v>0.91666666666666663</v>
      </c>
      <c r="M72" s="49"/>
      <c r="N72" s="47" t="s">
        <v>190</v>
      </c>
      <c r="O72" s="48">
        <v>0.8125</v>
      </c>
      <c r="P72" s="49"/>
      <c r="Q72" s="47">
        <v>46200</v>
      </c>
      <c r="R72" s="48">
        <v>0.70833333333333337</v>
      </c>
    </row>
    <row r="73" spans="2:18" x14ac:dyDescent="0.25">
      <c r="B73" s="30" t="s">
        <v>89</v>
      </c>
      <c r="C73" s="30" t="s">
        <v>6</v>
      </c>
      <c r="D73" s="31"/>
      <c r="E73" s="30" t="s">
        <v>92</v>
      </c>
      <c r="F73" s="30" t="s">
        <v>93</v>
      </c>
      <c r="G73" s="31"/>
      <c r="H73" s="30" t="s">
        <v>96</v>
      </c>
      <c r="I73" s="30" t="s">
        <v>94</v>
      </c>
      <c r="J73" s="31"/>
      <c r="K73" s="30" t="s">
        <v>98</v>
      </c>
      <c r="L73" s="30" t="s">
        <v>99</v>
      </c>
      <c r="M73" s="31"/>
      <c r="N73" s="30" t="s">
        <v>103</v>
      </c>
      <c r="O73" s="30" t="s">
        <v>9</v>
      </c>
      <c r="P73" s="28"/>
      <c r="Q73" s="30" t="s">
        <v>12</v>
      </c>
      <c r="R73" s="30" t="s">
        <v>10</v>
      </c>
    </row>
    <row r="74" spans="2:18" x14ac:dyDescent="0.25">
      <c r="B74" s="33"/>
      <c r="C74" s="33"/>
      <c r="D74" s="28"/>
      <c r="E74" s="33"/>
      <c r="F74" s="33"/>
      <c r="G74" s="28"/>
      <c r="H74" s="33"/>
      <c r="I74" s="33"/>
      <c r="J74" s="28"/>
      <c r="K74" s="33"/>
      <c r="L74" s="33"/>
      <c r="M74" s="28"/>
      <c r="N74" s="33"/>
      <c r="O74" s="33"/>
      <c r="P74" s="28"/>
      <c r="Q74" s="33"/>
      <c r="R74" s="33"/>
    </row>
    <row r="75" spans="2:18" x14ac:dyDescent="0.2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</row>
    <row r="76" spans="2:18" x14ac:dyDescent="0.25">
      <c r="B76" s="54" t="s">
        <v>19</v>
      </c>
      <c r="C76" s="55"/>
      <c r="D76" s="28"/>
      <c r="E76" s="54" t="s">
        <v>13</v>
      </c>
      <c r="F76" s="55"/>
      <c r="G76" s="28"/>
      <c r="H76" s="54" t="s">
        <v>16</v>
      </c>
      <c r="I76" s="55"/>
      <c r="J76" s="28"/>
      <c r="K76" s="54" t="s">
        <v>26</v>
      </c>
      <c r="L76" s="55"/>
      <c r="M76" s="28"/>
      <c r="N76" s="54" t="s">
        <v>14</v>
      </c>
      <c r="O76" s="55"/>
      <c r="P76" s="28"/>
      <c r="Q76" s="54" t="s">
        <v>23</v>
      </c>
      <c r="R76" s="55"/>
    </row>
    <row r="77" spans="2:18" x14ac:dyDescent="0.25">
      <c r="B77" s="47" t="s">
        <v>189</v>
      </c>
      <c r="C77" s="48">
        <v>0.95833333333333337</v>
      </c>
      <c r="D77" s="49"/>
      <c r="E77" s="47" t="s">
        <v>189</v>
      </c>
      <c r="F77" s="48">
        <v>0.83333333333333337</v>
      </c>
      <c r="G77" s="49"/>
      <c r="H77" s="47">
        <v>46199</v>
      </c>
      <c r="I77" s="48">
        <v>0.625</v>
      </c>
      <c r="J77" s="49"/>
      <c r="K77" s="47" t="s">
        <v>190</v>
      </c>
      <c r="L77" s="48">
        <v>0.91666666666666663</v>
      </c>
      <c r="M77" s="49"/>
      <c r="N77" s="47" t="s">
        <v>190</v>
      </c>
      <c r="O77" s="48">
        <v>0.8125</v>
      </c>
      <c r="P77" s="49"/>
      <c r="Q77" s="47">
        <v>46200</v>
      </c>
      <c r="R77" s="48">
        <v>0.70833333333333337</v>
      </c>
    </row>
    <row r="78" spans="2:18" x14ac:dyDescent="0.25">
      <c r="B78" s="30" t="s">
        <v>90</v>
      </c>
      <c r="C78" s="30" t="s">
        <v>88</v>
      </c>
      <c r="D78" s="31"/>
      <c r="E78" s="30" t="s">
        <v>7</v>
      </c>
      <c r="F78" s="30" t="s">
        <v>91</v>
      </c>
      <c r="G78" s="31"/>
      <c r="H78" s="30" t="s">
        <v>8</v>
      </c>
      <c r="I78" s="30" t="s">
        <v>95</v>
      </c>
      <c r="J78" s="31"/>
      <c r="K78" s="30" t="s">
        <v>100</v>
      </c>
      <c r="L78" s="30" t="s">
        <v>97</v>
      </c>
      <c r="M78" s="31"/>
      <c r="N78" s="30" t="s">
        <v>101</v>
      </c>
      <c r="O78" s="30" t="s">
        <v>102</v>
      </c>
      <c r="P78" s="28"/>
      <c r="Q78" s="30" t="s">
        <v>104</v>
      </c>
      <c r="R78" s="30" t="s">
        <v>11</v>
      </c>
    </row>
    <row r="79" spans="2:18" x14ac:dyDescent="0.25">
      <c r="B79" s="33"/>
      <c r="C79" s="33"/>
      <c r="D79" s="28"/>
      <c r="E79" s="33"/>
      <c r="F79" s="33"/>
      <c r="G79" s="28"/>
      <c r="H79" s="33"/>
      <c r="I79" s="33"/>
      <c r="J79" s="28"/>
      <c r="K79" s="33"/>
      <c r="L79" s="33"/>
      <c r="M79" s="28"/>
      <c r="N79" s="33"/>
      <c r="O79" s="33"/>
      <c r="P79" s="28"/>
      <c r="Q79" s="33"/>
      <c r="R79" s="33"/>
    </row>
    <row r="80" spans="2:18" x14ac:dyDescent="0.25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</row>
    <row r="81" spans="1:18" x14ac:dyDescent="0.25">
      <c r="B81" s="51" t="s">
        <v>108</v>
      </c>
      <c r="C81" s="51"/>
      <c r="D81" s="28"/>
      <c r="E81" s="51" t="s">
        <v>108</v>
      </c>
      <c r="F81" s="51"/>
      <c r="G81" s="28"/>
      <c r="H81" s="51" t="s">
        <v>108</v>
      </c>
      <c r="I81" s="51"/>
      <c r="J81" s="28"/>
      <c r="K81" s="51" t="s">
        <v>108</v>
      </c>
      <c r="L81" s="51"/>
      <c r="M81" s="28"/>
      <c r="N81" s="51" t="s">
        <v>108</v>
      </c>
      <c r="O81" s="51"/>
      <c r="P81" s="28"/>
      <c r="Q81" s="51" t="s">
        <v>108</v>
      </c>
      <c r="R81" s="51"/>
    </row>
    <row r="82" spans="1:18" x14ac:dyDescent="0.25">
      <c r="A82" s="42" t="s">
        <v>27</v>
      </c>
      <c r="B82" s="52"/>
      <c r="C82" s="52"/>
      <c r="D82" s="42" t="s">
        <v>27</v>
      </c>
      <c r="E82" s="52"/>
      <c r="F82" s="52"/>
      <c r="G82" s="42" t="s">
        <v>27</v>
      </c>
      <c r="H82" s="52"/>
      <c r="I82" s="52"/>
      <c r="J82" s="42" t="s">
        <v>27</v>
      </c>
      <c r="K82" s="52"/>
      <c r="L82" s="52"/>
      <c r="M82" s="42" t="s">
        <v>27</v>
      </c>
      <c r="N82" s="52"/>
      <c r="O82" s="52"/>
      <c r="P82" s="42" t="s">
        <v>27</v>
      </c>
      <c r="Q82" s="52"/>
      <c r="R82" s="52"/>
    </row>
    <row r="83" spans="1:18" x14ac:dyDescent="0.25">
      <c r="A83" s="42" t="s">
        <v>28</v>
      </c>
      <c r="B83" s="53"/>
      <c r="C83" s="53"/>
      <c r="D83" s="42" t="s">
        <v>28</v>
      </c>
      <c r="E83" s="53"/>
      <c r="F83" s="53"/>
      <c r="G83" s="42" t="s">
        <v>28</v>
      </c>
      <c r="H83" s="53"/>
      <c r="I83" s="53"/>
      <c r="J83" s="42" t="s">
        <v>28</v>
      </c>
      <c r="K83" s="53"/>
      <c r="L83" s="53"/>
      <c r="M83" s="42" t="s">
        <v>28</v>
      </c>
      <c r="N83" s="53"/>
      <c r="O83" s="53"/>
      <c r="P83" s="42" t="s">
        <v>28</v>
      </c>
      <c r="Q83" s="53"/>
      <c r="R83" s="53"/>
    </row>
    <row r="84" spans="1:18" x14ac:dyDescent="0.25">
      <c r="A84" s="42" t="s">
        <v>29</v>
      </c>
      <c r="B84" s="53"/>
      <c r="C84" s="53"/>
      <c r="D84" s="42" t="s">
        <v>29</v>
      </c>
      <c r="E84" s="53"/>
      <c r="F84" s="53"/>
      <c r="G84" s="42" t="s">
        <v>29</v>
      </c>
      <c r="H84" s="53"/>
      <c r="I84" s="53"/>
      <c r="J84" s="42" t="s">
        <v>29</v>
      </c>
      <c r="K84" s="53"/>
      <c r="L84" s="53"/>
      <c r="M84" s="42" t="s">
        <v>29</v>
      </c>
      <c r="N84" s="53"/>
      <c r="O84" s="53"/>
      <c r="P84" s="42" t="s">
        <v>29</v>
      </c>
      <c r="Q84" s="53"/>
      <c r="R84" s="53"/>
    </row>
    <row r="85" spans="1:18" x14ac:dyDescent="0.25">
      <c r="A85" s="42" t="s">
        <v>30</v>
      </c>
      <c r="B85" s="53"/>
      <c r="C85" s="53"/>
      <c r="D85" s="42" t="s">
        <v>30</v>
      </c>
      <c r="E85" s="53"/>
      <c r="F85" s="53"/>
      <c r="G85" s="42" t="s">
        <v>30</v>
      </c>
      <c r="H85" s="53"/>
      <c r="I85" s="53"/>
      <c r="J85" s="42" t="s">
        <v>30</v>
      </c>
      <c r="K85" s="53"/>
      <c r="L85" s="53"/>
      <c r="M85" s="42" t="s">
        <v>30</v>
      </c>
      <c r="N85" s="53"/>
      <c r="O85" s="53"/>
      <c r="P85" s="42" t="s">
        <v>30</v>
      </c>
      <c r="Q85" s="53"/>
      <c r="R85" s="53"/>
    </row>
  </sheetData>
  <mergeCells count="273">
    <mergeCell ref="B34:C34"/>
    <mergeCell ref="B3:C3"/>
    <mergeCell ref="B4:C4"/>
    <mergeCell ref="B5:C5"/>
    <mergeCell ref="B6:C6"/>
    <mergeCell ref="B7:C7"/>
    <mergeCell ref="B9:C9"/>
    <mergeCell ref="B14:C14"/>
    <mergeCell ref="B19:C19"/>
    <mergeCell ref="B24:C24"/>
    <mergeCell ref="B29:C29"/>
    <mergeCell ref="E14:F14"/>
    <mergeCell ref="E19:F19"/>
    <mergeCell ref="E24:F24"/>
    <mergeCell ref="E29:F29"/>
    <mergeCell ref="E34:F34"/>
    <mergeCell ref="E3:F3"/>
    <mergeCell ref="E4:F4"/>
    <mergeCell ref="E5:F5"/>
    <mergeCell ref="E6:F6"/>
    <mergeCell ref="E7:F7"/>
    <mergeCell ref="E9:F9"/>
    <mergeCell ref="H14:I14"/>
    <mergeCell ref="H19:I19"/>
    <mergeCell ref="H24:I24"/>
    <mergeCell ref="H29:I29"/>
    <mergeCell ref="H34:I34"/>
    <mergeCell ref="H3:I3"/>
    <mergeCell ref="H4:I4"/>
    <mergeCell ref="H5:I5"/>
    <mergeCell ref="H6:I6"/>
    <mergeCell ref="H7:I7"/>
    <mergeCell ref="H9:I9"/>
    <mergeCell ref="K14:L14"/>
    <mergeCell ref="K19:L19"/>
    <mergeCell ref="K24:L24"/>
    <mergeCell ref="K29:L29"/>
    <mergeCell ref="K34:L34"/>
    <mergeCell ref="N3:O3"/>
    <mergeCell ref="N4:O4"/>
    <mergeCell ref="N5:O5"/>
    <mergeCell ref="N6:O6"/>
    <mergeCell ref="N7:O7"/>
    <mergeCell ref="K3:L3"/>
    <mergeCell ref="K4:L4"/>
    <mergeCell ref="K5:L5"/>
    <mergeCell ref="K6:L6"/>
    <mergeCell ref="K7:L7"/>
    <mergeCell ref="K9:L9"/>
    <mergeCell ref="B43:C43"/>
    <mergeCell ref="E39:F39"/>
    <mergeCell ref="E40:F40"/>
    <mergeCell ref="E41:F41"/>
    <mergeCell ref="E42:F42"/>
    <mergeCell ref="E43:F43"/>
    <mergeCell ref="B1:R1"/>
    <mergeCell ref="B39:C39"/>
    <mergeCell ref="B40:C40"/>
    <mergeCell ref="B41:C41"/>
    <mergeCell ref="B42:C42"/>
    <mergeCell ref="Q14:R14"/>
    <mergeCell ref="Q19:R19"/>
    <mergeCell ref="Q24:R24"/>
    <mergeCell ref="Q29:R29"/>
    <mergeCell ref="Q34:R34"/>
    <mergeCell ref="Q3:R3"/>
    <mergeCell ref="Q4:R4"/>
    <mergeCell ref="Q5:R5"/>
    <mergeCell ref="Q6:R6"/>
    <mergeCell ref="Q7:R7"/>
    <mergeCell ref="Q9:R9"/>
    <mergeCell ref="N9:O9"/>
    <mergeCell ref="N14:O14"/>
    <mergeCell ref="N42:O42"/>
    <mergeCell ref="N43:O43"/>
    <mergeCell ref="Q39:R39"/>
    <mergeCell ref="Q40:R40"/>
    <mergeCell ref="Q41:R41"/>
    <mergeCell ref="Q42:R42"/>
    <mergeCell ref="Q43:R43"/>
    <mergeCell ref="H39:I39"/>
    <mergeCell ref="H40:I40"/>
    <mergeCell ref="H41:I41"/>
    <mergeCell ref="H42:I42"/>
    <mergeCell ref="H43:I43"/>
    <mergeCell ref="K39:L39"/>
    <mergeCell ref="K40:L40"/>
    <mergeCell ref="K41:L41"/>
    <mergeCell ref="K42:L42"/>
    <mergeCell ref="K43:L43"/>
    <mergeCell ref="S3:T3"/>
    <mergeCell ref="S4:T4"/>
    <mergeCell ref="S5:T5"/>
    <mergeCell ref="S6:T6"/>
    <mergeCell ref="S7:T7"/>
    <mergeCell ref="S9:T9"/>
    <mergeCell ref="N39:O39"/>
    <mergeCell ref="N40:O40"/>
    <mergeCell ref="N41:O41"/>
    <mergeCell ref="N19:O19"/>
    <mergeCell ref="N24:O24"/>
    <mergeCell ref="N29:O29"/>
    <mergeCell ref="N34:O34"/>
    <mergeCell ref="V5:W5"/>
    <mergeCell ref="V6:W6"/>
    <mergeCell ref="V7:W7"/>
    <mergeCell ref="V14:W14"/>
    <mergeCell ref="S14:T14"/>
    <mergeCell ref="S19:T19"/>
    <mergeCell ref="S24:T24"/>
    <mergeCell ref="S29:T29"/>
    <mergeCell ref="S34:T34"/>
    <mergeCell ref="V19:W19"/>
    <mergeCell ref="V24:W24"/>
    <mergeCell ref="V29:W29"/>
    <mergeCell ref="V34:W34"/>
    <mergeCell ref="V39:W39"/>
    <mergeCell ref="V40:W40"/>
    <mergeCell ref="AE3:AF3"/>
    <mergeCell ref="AE4:AF4"/>
    <mergeCell ref="AE5:AF5"/>
    <mergeCell ref="AE6:AF6"/>
    <mergeCell ref="AE7:AF7"/>
    <mergeCell ref="V9:W9"/>
    <mergeCell ref="Y3:Z3"/>
    <mergeCell ref="Y4:Z4"/>
    <mergeCell ref="Y5:Z5"/>
    <mergeCell ref="Y6:Z6"/>
    <mergeCell ref="Y7:Z7"/>
    <mergeCell ref="AB3:AC3"/>
    <mergeCell ref="AB4:AC4"/>
    <mergeCell ref="AB5:AC5"/>
    <mergeCell ref="AB6:AC6"/>
    <mergeCell ref="AB7:AC7"/>
    <mergeCell ref="V3:W3"/>
    <mergeCell ref="V4:W4"/>
    <mergeCell ref="AE9:AF9"/>
    <mergeCell ref="AE14:AF14"/>
    <mergeCell ref="AE19:AF19"/>
    <mergeCell ref="AE24:AF24"/>
    <mergeCell ref="AE29:AF29"/>
    <mergeCell ref="Y40:Z40"/>
    <mergeCell ref="Y41:Z41"/>
    <mergeCell ref="Y42:Z42"/>
    <mergeCell ref="Y43:Z43"/>
    <mergeCell ref="AB9:AC9"/>
    <mergeCell ref="AB14:AC14"/>
    <mergeCell ref="AB19:AC19"/>
    <mergeCell ref="AB24:AC24"/>
    <mergeCell ref="AB29:AC29"/>
    <mergeCell ref="AB34:AC34"/>
    <mergeCell ref="Y9:Z9"/>
    <mergeCell ref="Y14:Z14"/>
    <mergeCell ref="Y19:Z19"/>
    <mergeCell ref="Y24:Z24"/>
    <mergeCell ref="Y29:Z29"/>
    <mergeCell ref="Y34:Z34"/>
    <mergeCell ref="Y39:Z39"/>
    <mergeCell ref="B45:C45"/>
    <mergeCell ref="E45:F45"/>
    <mergeCell ref="H45:I45"/>
    <mergeCell ref="K45:L45"/>
    <mergeCell ref="N45:O45"/>
    <mergeCell ref="AE34:AF34"/>
    <mergeCell ref="AE39:AF39"/>
    <mergeCell ref="AE40:AF40"/>
    <mergeCell ref="AE41:AF41"/>
    <mergeCell ref="AE42:AF42"/>
    <mergeCell ref="AE43:AF43"/>
    <mergeCell ref="AB39:AC39"/>
    <mergeCell ref="AB40:AC40"/>
    <mergeCell ref="AB41:AC41"/>
    <mergeCell ref="AB42:AC42"/>
    <mergeCell ref="AB43:AC43"/>
    <mergeCell ref="V41:W41"/>
    <mergeCell ref="V42:W42"/>
    <mergeCell ref="V43:W43"/>
    <mergeCell ref="S40:T40"/>
    <mergeCell ref="S41:T41"/>
    <mergeCell ref="S42:T42"/>
    <mergeCell ref="S43:T43"/>
    <mergeCell ref="S39:T39"/>
    <mergeCell ref="B46:C46"/>
    <mergeCell ref="E46:F46"/>
    <mergeCell ref="H46:I46"/>
    <mergeCell ref="K46:L46"/>
    <mergeCell ref="N46:O46"/>
    <mergeCell ref="B47:C47"/>
    <mergeCell ref="E47:F47"/>
    <mergeCell ref="H47:I47"/>
    <mergeCell ref="K47:L47"/>
    <mergeCell ref="N47:O47"/>
    <mergeCell ref="B48:C48"/>
    <mergeCell ref="E48:F48"/>
    <mergeCell ref="H48:I48"/>
    <mergeCell ref="K48:L48"/>
    <mergeCell ref="N48:O48"/>
    <mergeCell ref="B49:C49"/>
    <mergeCell ref="E49:F49"/>
    <mergeCell ref="H49:I49"/>
    <mergeCell ref="K49:L49"/>
    <mergeCell ref="N49:O49"/>
    <mergeCell ref="B51:C51"/>
    <mergeCell ref="E51:F51"/>
    <mergeCell ref="H51:I51"/>
    <mergeCell ref="K51:L51"/>
    <mergeCell ref="N51:O51"/>
    <mergeCell ref="B56:C56"/>
    <mergeCell ref="E56:F56"/>
    <mergeCell ref="H56:I56"/>
    <mergeCell ref="K56:L56"/>
    <mergeCell ref="N56:O56"/>
    <mergeCell ref="B61:C61"/>
    <mergeCell ref="E61:F61"/>
    <mergeCell ref="H61:I61"/>
    <mergeCell ref="K61:L61"/>
    <mergeCell ref="N61:O61"/>
    <mergeCell ref="B66:C66"/>
    <mergeCell ref="E66:F66"/>
    <mergeCell ref="H66:I66"/>
    <mergeCell ref="K66:L66"/>
    <mergeCell ref="N66:O66"/>
    <mergeCell ref="N81:O81"/>
    <mergeCell ref="B82:C82"/>
    <mergeCell ref="E82:F82"/>
    <mergeCell ref="H82:I82"/>
    <mergeCell ref="K82:L82"/>
    <mergeCell ref="N82:O82"/>
    <mergeCell ref="B71:C71"/>
    <mergeCell ref="E71:F71"/>
    <mergeCell ref="H71:I71"/>
    <mergeCell ref="K71:L71"/>
    <mergeCell ref="N71:O71"/>
    <mergeCell ref="B76:C76"/>
    <mergeCell ref="E76:F76"/>
    <mergeCell ref="H76:I76"/>
    <mergeCell ref="K76:L76"/>
    <mergeCell ref="N76:O76"/>
    <mergeCell ref="B85:C85"/>
    <mergeCell ref="E85:F85"/>
    <mergeCell ref="H85:I85"/>
    <mergeCell ref="K85:L85"/>
    <mergeCell ref="N85:O85"/>
    <mergeCell ref="Q45:R45"/>
    <mergeCell ref="Q46:R46"/>
    <mergeCell ref="Q47:R47"/>
    <mergeCell ref="Q48:R48"/>
    <mergeCell ref="Q49:R49"/>
    <mergeCell ref="B83:C83"/>
    <mergeCell ref="E83:F83"/>
    <mergeCell ref="H83:I83"/>
    <mergeCell ref="K83:L83"/>
    <mergeCell ref="N83:O83"/>
    <mergeCell ref="B84:C84"/>
    <mergeCell ref="E84:F84"/>
    <mergeCell ref="H84:I84"/>
    <mergeCell ref="K84:L84"/>
    <mergeCell ref="N84:O84"/>
    <mergeCell ref="B81:C81"/>
    <mergeCell ref="E81:F81"/>
    <mergeCell ref="H81:I81"/>
    <mergeCell ref="K81:L81"/>
    <mergeCell ref="Q81:R81"/>
    <mergeCell ref="Q82:R82"/>
    <mergeCell ref="Q83:R83"/>
    <mergeCell ref="Q84:R84"/>
    <mergeCell ref="Q85:R85"/>
    <mergeCell ref="Q51:R51"/>
    <mergeCell ref="Q56:R56"/>
    <mergeCell ref="Q61:R61"/>
    <mergeCell ref="Q66:R66"/>
    <mergeCell ref="Q71:R71"/>
    <mergeCell ref="Q76:R76"/>
  </mergeCells>
  <pageMargins left="0.50213675213675213" right="0.36499999999999999" top="0.5805555555555556" bottom="0.66156250000000005" header="0.3" footer="0.3"/>
  <pageSetup scale="73" fitToWidth="0" fitToHeight="0" orientation="landscape" horizontalDpi="360" verticalDpi="360" r:id="rId1"/>
  <headerFooter>
    <oddHeader>&amp;CWorld Cup  2026</oddHeader>
    <oddFooter>&amp;Chttps://excel-template.net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2DDC-B473-FA44-AB6F-E3B66003E11A}">
  <sheetPr>
    <pageSetUpPr fitToPage="1"/>
  </sheetPr>
  <dimension ref="A1:X32"/>
  <sheetViews>
    <sheetView showGridLines="0" view="pageLayout" zoomScale="85" zoomScaleNormal="100" zoomScalePageLayoutView="85" workbookViewId="0">
      <selection activeCell="I8" sqref="I8"/>
    </sheetView>
  </sheetViews>
  <sheetFormatPr baseColWidth="10" defaultRowHeight="15.75" x14ac:dyDescent="0.25"/>
  <cols>
    <col min="1" max="1" width="3.375" style="14" customWidth="1"/>
    <col min="2" max="3" width="15.125" customWidth="1"/>
    <col min="4" max="4" width="5.125" style="14" customWidth="1"/>
    <col min="5" max="6" width="15.125" customWidth="1"/>
    <col min="7" max="7" width="4.375" style="14" customWidth="1"/>
    <col min="8" max="9" width="15.125" customWidth="1"/>
    <col min="10" max="10" width="4.125" style="14" customWidth="1"/>
    <col min="11" max="12" width="15.125" customWidth="1"/>
    <col min="13" max="13" width="3.875" customWidth="1"/>
    <col min="16" max="16" width="3.875" customWidth="1"/>
    <col min="19" max="19" width="3.125" customWidth="1"/>
    <col min="22" max="22" width="3.125" customWidth="1"/>
    <col min="25" max="25" width="3" customWidth="1"/>
    <col min="28" max="28" width="3.375" customWidth="1"/>
    <col min="31" max="31" width="2.875" customWidth="1"/>
    <col min="34" max="34" width="2.125" customWidth="1"/>
    <col min="37" max="37" width="3" customWidth="1"/>
    <col min="40" max="40" width="2.5" customWidth="1"/>
    <col min="43" max="43" width="2.875" customWidth="1"/>
    <col min="46" max="46" width="2.875" customWidth="1"/>
  </cols>
  <sheetData>
    <row r="1" spans="1:24" ht="24" x14ac:dyDescent="0.4">
      <c r="B1" s="67" t="s">
        <v>200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3" spans="1:24" x14ac:dyDescent="0.25">
      <c r="A3" s="14">
        <v>73</v>
      </c>
      <c r="B3" s="66" t="s">
        <v>138</v>
      </c>
      <c r="C3" s="66"/>
      <c r="D3" s="14">
        <v>76</v>
      </c>
      <c r="E3" s="66" t="s">
        <v>125</v>
      </c>
      <c r="F3" s="66"/>
      <c r="G3" s="14">
        <v>74</v>
      </c>
      <c r="H3" s="66" t="s">
        <v>126</v>
      </c>
      <c r="I3" s="66"/>
      <c r="J3" s="14">
        <v>75</v>
      </c>
      <c r="K3" s="66" t="s">
        <v>127</v>
      </c>
      <c r="L3" s="66"/>
    </row>
    <row r="4" spans="1:24" x14ac:dyDescent="0.25">
      <c r="B4" s="65" t="s">
        <v>18</v>
      </c>
      <c r="C4" s="65"/>
      <c r="E4" s="65" t="s">
        <v>25</v>
      </c>
      <c r="F4" s="65"/>
      <c r="H4" s="65" t="s">
        <v>22</v>
      </c>
      <c r="I4" s="65"/>
      <c r="K4" s="65" t="s">
        <v>15</v>
      </c>
      <c r="L4" s="65"/>
    </row>
    <row r="5" spans="1:24" x14ac:dyDescent="0.25">
      <c r="B5" s="3">
        <v>46201</v>
      </c>
      <c r="C5" s="4">
        <v>0.625</v>
      </c>
      <c r="E5" s="3">
        <v>46202</v>
      </c>
      <c r="F5" s="4">
        <v>0.54166666666666663</v>
      </c>
      <c r="H5" s="3">
        <v>46202</v>
      </c>
      <c r="I5" s="4">
        <v>0.6875</v>
      </c>
      <c r="K5" s="3" t="s">
        <v>191</v>
      </c>
      <c r="L5" s="4">
        <v>0.875</v>
      </c>
    </row>
    <row r="6" spans="1:24" x14ac:dyDescent="0.25">
      <c r="B6" s="7" t="str">
        <f>IF(Groups!B41&lt;&gt;"",Groups!B41,"")</f>
        <v/>
      </c>
      <c r="C6" s="7" t="str">
        <f>IF(Groups!E41&lt;&gt;"",Groups!E41,"")</f>
        <v/>
      </c>
      <c r="E6" s="7" t="str">
        <f>IF(Groups!H40&lt;&gt;"",Groups!H40,"")</f>
        <v/>
      </c>
      <c r="F6" s="7" t="str">
        <f>IF(Groups!Q41&lt;&gt;"",Groups!Q41,"")</f>
        <v/>
      </c>
      <c r="H6" s="7" t="str">
        <f>IF(Groups!N40&lt;&gt;"",Groups!N40,"")</f>
        <v/>
      </c>
      <c r="I6" s="30"/>
      <c r="K6" s="7" t="str">
        <f>IF(Groups!Q40&lt;&gt;"",Groups!Q40,"")</f>
        <v/>
      </c>
      <c r="L6" s="7" t="str">
        <f>IF(Groups!H41&lt;&gt;"",Groups!H41,"")</f>
        <v/>
      </c>
    </row>
    <row r="7" spans="1:24" x14ac:dyDescent="0.25">
      <c r="B7" s="2"/>
      <c r="C7" s="2"/>
      <c r="E7" s="2"/>
      <c r="F7" s="2"/>
      <c r="H7" s="2"/>
      <c r="I7" s="2"/>
      <c r="K7" s="2"/>
      <c r="L7" s="2"/>
    </row>
    <row r="8" spans="1:24" s="46" customFormat="1" x14ac:dyDescent="0.25">
      <c r="A8" s="44"/>
      <c r="B8" s="45" t="s">
        <v>34</v>
      </c>
      <c r="C8" s="45" t="s">
        <v>35</v>
      </c>
      <c r="D8" s="44"/>
      <c r="E8" s="45" t="s">
        <v>44</v>
      </c>
      <c r="F8" s="45" t="s">
        <v>45</v>
      </c>
      <c r="G8" s="44"/>
      <c r="H8" s="45" t="s">
        <v>31</v>
      </c>
      <c r="I8" s="45" t="s">
        <v>56</v>
      </c>
      <c r="J8" s="44"/>
      <c r="K8" s="45" t="s">
        <v>37</v>
      </c>
      <c r="L8" s="45" t="s">
        <v>36</v>
      </c>
    </row>
    <row r="10" spans="1:24" x14ac:dyDescent="0.25">
      <c r="A10" s="14">
        <v>78</v>
      </c>
      <c r="B10" s="66" t="s">
        <v>128</v>
      </c>
      <c r="C10" s="66"/>
      <c r="D10" s="14">
        <v>77</v>
      </c>
      <c r="E10" s="66" t="s">
        <v>129</v>
      </c>
      <c r="F10" s="66"/>
      <c r="G10" s="14">
        <v>79</v>
      </c>
      <c r="H10" s="66" t="s">
        <v>130</v>
      </c>
      <c r="I10" s="66"/>
      <c r="J10" s="14">
        <v>80</v>
      </c>
      <c r="K10" s="66" t="s">
        <v>131</v>
      </c>
      <c r="L10" s="66"/>
    </row>
    <row r="11" spans="1:24" x14ac:dyDescent="0.25">
      <c r="B11" s="65" t="s">
        <v>26</v>
      </c>
      <c r="C11" s="65"/>
      <c r="E11" s="65" t="s">
        <v>32</v>
      </c>
      <c r="F11" s="65"/>
      <c r="H11" s="65" t="s">
        <v>142</v>
      </c>
      <c r="I11" s="65"/>
      <c r="K11" s="65" t="s">
        <v>14</v>
      </c>
      <c r="L11" s="65"/>
    </row>
    <row r="12" spans="1:24" x14ac:dyDescent="0.25">
      <c r="B12" s="3">
        <v>46203</v>
      </c>
      <c r="C12" s="4">
        <v>0.54166666666666663</v>
      </c>
      <c r="E12" s="3">
        <v>46203</v>
      </c>
      <c r="F12" s="4">
        <v>0.70833333333333337</v>
      </c>
      <c r="H12" s="3" t="s">
        <v>192</v>
      </c>
      <c r="I12" s="4">
        <v>0.875</v>
      </c>
      <c r="K12" s="3">
        <v>46204</v>
      </c>
      <c r="L12" s="4">
        <v>0.5</v>
      </c>
    </row>
    <row r="13" spans="1:24" x14ac:dyDescent="0.25">
      <c r="B13" s="7" t="str">
        <f>IF(Groups!N41&lt;&gt;"",Groups!N41,"")</f>
        <v/>
      </c>
      <c r="C13" s="7" t="str">
        <f>IF(Groups!H83&lt;&gt;"",Groups!H83,"")</f>
        <v/>
      </c>
      <c r="E13" s="7" t="str">
        <f>IF(Groups!H82&lt;&gt;"",Groups!H82,"")</f>
        <v/>
      </c>
      <c r="F13" s="30"/>
      <c r="H13" s="7" t="str">
        <f>IF(Groups!B40&lt;&gt;"",Groups!B40,"")</f>
        <v/>
      </c>
      <c r="I13" s="7"/>
      <c r="K13" s="7" t="str">
        <f>IF(Groups!Q82&lt;&gt;"",Groups!Q82,"")</f>
        <v/>
      </c>
      <c r="L13" s="7"/>
    </row>
    <row r="14" spans="1:24" x14ac:dyDescent="0.25">
      <c r="B14" s="2"/>
      <c r="C14" s="2"/>
      <c r="E14" s="2"/>
      <c r="F14" s="2"/>
      <c r="H14" s="2"/>
      <c r="I14" s="2"/>
      <c r="K14" s="2"/>
      <c r="L14" s="2"/>
    </row>
    <row r="15" spans="1:24" s="46" customFormat="1" x14ac:dyDescent="0.25">
      <c r="A15" s="44"/>
      <c r="B15" s="45" t="s">
        <v>46</v>
      </c>
      <c r="C15" s="45" t="s">
        <v>47</v>
      </c>
      <c r="D15" s="44"/>
      <c r="E15" s="45" t="s">
        <v>33</v>
      </c>
      <c r="F15" s="45" t="s">
        <v>56</v>
      </c>
      <c r="G15" s="44"/>
      <c r="H15" s="45" t="s">
        <v>48</v>
      </c>
      <c r="I15" s="45" t="s">
        <v>56</v>
      </c>
      <c r="J15" s="44"/>
      <c r="K15" s="45" t="s">
        <v>49</v>
      </c>
      <c r="L15" s="45" t="s">
        <v>56</v>
      </c>
    </row>
    <row r="17" spans="1:12" x14ac:dyDescent="0.25">
      <c r="A17" s="14">
        <v>82</v>
      </c>
      <c r="B17" s="66" t="s">
        <v>132</v>
      </c>
      <c r="C17" s="66"/>
      <c r="D17" s="14">
        <v>81</v>
      </c>
      <c r="E17" s="66" t="s">
        <v>133</v>
      </c>
      <c r="F17" s="66"/>
      <c r="G17" s="14">
        <v>84</v>
      </c>
      <c r="H17" s="66" t="s">
        <v>134</v>
      </c>
      <c r="I17" s="66"/>
      <c r="J17" s="14">
        <v>83</v>
      </c>
      <c r="K17" s="66" t="s">
        <v>139</v>
      </c>
      <c r="L17" s="66"/>
    </row>
    <row r="18" spans="1:12" x14ac:dyDescent="0.25">
      <c r="B18" s="65" t="s">
        <v>20</v>
      </c>
      <c r="C18" s="65"/>
      <c r="E18" s="65" t="s">
        <v>17</v>
      </c>
      <c r="F18" s="65"/>
      <c r="H18" s="65" t="s">
        <v>18</v>
      </c>
      <c r="I18" s="65"/>
      <c r="K18" s="65" t="s">
        <v>16</v>
      </c>
      <c r="L18" s="65"/>
    </row>
    <row r="19" spans="1:12" x14ac:dyDescent="0.25">
      <c r="B19" s="3">
        <v>46204</v>
      </c>
      <c r="C19" s="4">
        <v>0.66666666666666663</v>
      </c>
      <c r="E19" s="3" t="s">
        <v>193</v>
      </c>
      <c r="F19" s="4">
        <v>0.83333333333333337</v>
      </c>
      <c r="H19" s="3">
        <v>46205</v>
      </c>
      <c r="I19" s="4">
        <v>0.625</v>
      </c>
      <c r="K19" s="3" t="s">
        <v>194</v>
      </c>
      <c r="L19" s="4">
        <v>0.79166666666666663</v>
      </c>
    </row>
    <row r="20" spans="1:12" x14ac:dyDescent="0.25">
      <c r="B20" s="7" t="str">
        <f>IF(Groups!B82&lt;&gt;"",Groups!B82,"")</f>
        <v/>
      </c>
      <c r="C20" s="30"/>
      <c r="E20" s="7" t="str">
        <f>IF(Groups!K40&lt;&gt;"",Groups!K40,"")</f>
        <v/>
      </c>
      <c r="F20" s="30"/>
      <c r="H20" s="7" t="str">
        <f>IF(Groups!E82&lt;&gt;"",Groups!E82,"")</f>
        <v/>
      </c>
      <c r="I20" s="7" t="str">
        <f>IF(Groups!K83&lt;&gt;"",Groups!K83,"")</f>
        <v/>
      </c>
      <c r="K20" s="7" t="str">
        <f>IF(Groups!N83&lt;&gt;"",Groups!N83,"")</f>
        <v/>
      </c>
      <c r="L20" s="7" t="str">
        <f>IF(Groups!Q83&lt;&gt;"",Groups!Q83,"")</f>
        <v/>
      </c>
    </row>
    <row r="21" spans="1:12" x14ac:dyDescent="0.25">
      <c r="B21" s="2"/>
      <c r="C21" s="2"/>
      <c r="E21" s="2"/>
      <c r="F21" s="2"/>
      <c r="H21" s="2"/>
      <c r="I21" s="2"/>
      <c r="K21" s="2"/>
      <c r="L21" s="2"/>
    </row>
    <row r="22" spans="1:12" s="46" customFormat="1" x14ac:dyDescent="0.25">
      <c r="A22" s="44"/>
      <c r="B22" s="45" t="s">
        <v>43</v>
      </c>
      <c r="C22" s="45" t="s">
        <v>56</v>
      </c>
      <c r="D22" s="44"/>
      <c r="E22" s="45" t="s">
        <v>42</v>
      </c>
      <c r="F22" s="45" t="s">
        <v>56</v>
      </c>
      <c r="G22" s="44"/>
      <c r="H22" s="45" t="s">
        <v>40</v>
      </c>
      <c r="I22" s="45" t="s">
        <v>41</v>
      </c>
      <c r="J22" s="44"/>
      <c r="K22" s="45" t="s">
        <v>39</v>
      </c>
      <c r="L22" s="45" t="s">
        <v>38</v>
      </c>
    </row>
    <row r="24" spans="1:12" x14ac:dyDescent="0.25">
      <c r="A24" s="14">
        <v>85</v>
      </c>
      <c r="B24" s="66" t="s">
        <v>140</v>
      </c>
      <c r="C24" s="66"/>
      <c r="D24" s="14">
        <v>88</v>
      </c>
      <c r="E24" s="66" t="s">
        <v>135</v>
      </c>
      <c r="F24" s="66"/>
      <c r="G24" s="14">
        <v>86</v>
      </c>
      <c r="H24" s="66" t="s">
        <v>136</v>
      </c>
      <c r="I24" s="66"/>
      <c r="J24" s="14">
        <v>87</v>
      </c>
      <c r="K24" s="66" t="s">
        <v>137</v>
      </c>
      <c r="L24" s="66"/>
    </row>
    <row r="25" spans="1:12" x14ac:dyDescent="0.25">
      <c r="B25" s="65" t="s">
        <v>19</v>
      </c>
      <c r="C25" s="65"/>
      <c r="E25" s="65" t="s">
        <v>26</v>
      </c>
      <c r="F25" s="65"/>
      <c r="H25" s="65" t="s">
        <v>24</v>
      </c>
      <c r="I25" s="65"/>
      <c r="K25" s="65" t="s">
        <v>143</v>
      </c>
      <c r="L25" s="65"/>
    </row>
    <row r="26" spans="1:12" x14ac:dyDescent="0.25">
      <c r="B26" s="3" t="s">
        <v>194</v>
      </c>
      <c r="C26" s="4">
        <v>0.95833333333333337</v>
      </c>
      <c r="E26" s="3">
        <v>46206</v>
      </c>
      <c r="F26" s="4">
        <v>0.58333333333333337</v>
      </c>
      <c r="H26" s="3">
        <v>46207</v>
      </c>
      <c r="I26" s="4">
        <v>0.75</v>
      </c>
      <c r="K26" s="3" t="s">
        <v>195</v>
      </c>
      <c r="L26" s="4">
        <v>0.89583333333333337</v>
      </c>
    </row>
    <row r="27" spans="1:12" x14ac:dyDescent="0.25">
      <c r="B27" s="7" t="str">
        <f>IF(Groups!E40&lt;&gt;"",Groups!E40,"")</f>
        <v/>
      </c>
      <c r="C27" s="7"/>
      <c r="E27" s="7" t="str">
        <f>IF(Groups!K41&lt;&gt;"",Groups!K41,"")</f>
        <v/>
      </c>
      <c r="F27" s="7" t="str">
        <f>IF(Groups!B83&lt;&gt;"",Groups!B83,"")</f>
        <v/>
      </c>
      <c r="H27" s="7" t="str">
        <f>IF(Groups!K82&lt;&gt;"",Groups!K82,"")</f>
        <v/>
      </c>
      <c r="I27" s="7" t="str">
        <f>IF(Groups!E83&lt;&gt;"",Groups!E83,"")</f>
        <v/>
      </c>
      <c r="K27" s="7" t="str">
        <f>IF(Groups!N82&lt;&gt;"",Groups!N82,"")</f>
        <v/>
      </c>
      <c r="L27" s="7"/>
    </row>
    <row r="28" spans="1:12" x14ac:dyDescent="0.25">
      <c r="B28" s="2"/>
      <c r="C28" s="2"/>
      <c r="E28" s="2"/>
      <c r="F28" s="2"/>
      <c r="H28" s="2"/>
      <c r="I28" s="2"/>
      <c r="K28" s="2"/>
      <c r="L28" s="2"/>
    </row>
    <row r="29" spans="1:12" s="46" customFormat="1" x14ac:dyDescent="0.25">
      <c r="A29" s="44"/>
      <c r="B29" s="45" t="s">
        <v>54</v>
      </c>
      <c r="C29" s="45" t="s">
        <v>56</v>
      </c>
      <c r="D29" s="44"/>
      <c r="E29" s="45" t="s">
        <v>52</v>
      </c>
      <c r="F29" s="45" t="s">
        <v>53</v>
      </c>
      <c r="G29" s="44"/>
      <c r="H29" s="45" t="s">
        <v>50</v>
      </c>
      <c r="I29" s="45" t="s">
        <v>51</v>
      </c>
      <c r="J29" s="44"/>
      <c r="K29" s="45" t="s">
        <v>55</v>
      </c>
      <c r="L29" s="45" t="s">
        <v>56</v>
      </c>
    </row>
    <row r="32" spans="1:12" x14ac:dyDescent="0.25">
      <c r="B32" s="12" t="s">
        <v>56</v>
      </c>
      <c r="C32" t="s">
        <v>141</v>
      </c>
    </row>
  </sheetData>
  <mergeCells count="33">
    <mergeCell ref="K3:L3"/>
    <mergeCell ref="K4:L4"/>
    <mergeCell ref="K17:L17"/>
    <mergeCell ref="K18:L18"/>
    <mergeCell ref="H17:I17"/>
    <mergeCell ref="H18:I18"/>
    <mergeCell ref="H4:I4"/>
    <mergeCell ref="H3:I3"/>
    <mergeCell ref="E18:F18"/>
    <mergeCell ref="B17:C17"/>
    <mergeCell ref="B18:C18"/>
    <mergeCell ref="E3:F3"/>
    <mergeCell ref="E4:F4"/>
    <mergeCell ref="E10:F10"/>
    <mergeCell ref="E11:F11"/>
    <mergeCell ref="B3:C3"/>
    <mergeCell ref="B4:C4"/>
    <mergeCell ref="K24:L24"/>
    <mergeCell ref="K25:L25"/>
    <mergeCell ref="B1:L1"/>
    <mergeCell ref="H24:I24"/>
    <mergeCell ref="H25:I25"/>
    <mergeCell ref="E24:F24"/>
    <mergeCell ref="E25:F25"/>
    <mergeCell ref="B24:C24"/>
    <mergeCell ref="B25:C25"/>
    <mergeCell ref="B10:C10"/>
    <mergeCell ref="B11:C11"/>
    <mergeCell ref="H10:I10"/>
    <mergeCell ref="H11:I11"/>
    <mergeCell ref="K10:L10"/>
    <mergeCell ref="K11:L11"/>
    <mergeCell ref="E17:F17"/>
  </mergeCells>
  <pageMargins left="0.50213675213675213" right="0.49145299145299143" top="0.5805555555555556" bottom="0.78740157499999996" header="0.3" footer="0.3"/>
  <pageSetup scale="86" orientation="landscape" r:id="rId1"/>
  <headerFooter>
    <oddHeader>&amp;CWorld Cup 2026</oddHeader>
    <oddFooter>&amp;Chttps://excel-template.net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C0FE-F343-4D49-9D8F-2B546D69405D}">
  <sheetPr>
    <pageSetUpPr fitToPage="1"/>
  </sheetPr>
  <dimension ref="A1:X32"/>
  <sheetViews>
    <sheetView showGridLines="0" view="pageLayout" zoomScale="60" zoomScaleNormal="80" zoomScalePageLayoutView="60" workbookViewId="0">
      <selection activeCell="B2" sqref="B2"/>
    </sheetView>
  </sheetViews>
  <sheetFormatPr baseColWidth="10" defaultRowHeight="15.75" x14ac:dyDescent="0.25"/>
  <cols>
    <col min="1" max="1" width="4.125" customWidth="1"/>
    <col min="2" max="3" width="15.625" customWidth="1"/>
    <col min="4" max="4" width="5.125" customWidth="1"/>
    <col min="5" max="6" width="15.625" customWidth="1"/>
    <col min="7" max="7" width="4.125" customWidth="1"/>
    <col min="8" max="9" width="15.625" customWidth="1"/>
    <col min="10" max="10" width="4.625" customWidth="1"/>
    <col min="11" max="12" width="15.625" customWidth="1"/>
    <col min="13" max="13" width="5.375" customWidth="1"/>
    <col min="14" max="15" width="15.625" customWidth="1"/>
    <col min="16" max="16" width="5" customWidth="1"/>
    <col min="17" max="18" width="15.625" customWidth="1"/>
    <col min="19" max="19" width="4.625" customWidth="1"/>
    <col min="20" max="21" width="15.625" customWidth="1"/>
    <col min="22" max="22" width="4.5" customWidth="1"/>
    <col min="23" max="24" width="15.625" customWidth="1"/>
  </cols>
  <sheetData>
    <row r="1" spans="1:24" ht="53.1" customHeight="1" x14ac:dyDescent="0.25">
      <c r="B1" s="77" t="s">
        <v>201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</row>
    <row r="2" spans="1:24" ht="18.95" customHeight="1" x14ac:dyDescent="0.25">
      <c r="V2" s="15"/>
    </row>
    <row r="3" spans="1:24" s="17" customFormat="1" ht="30.95" customHeight="1" x14ac:dyDescent="0.25">
      <c r="A3" s="16">
        <v>89</v>
      </c>
      <c r="B3" s="84" t="s">
        <v>110</v>
      </c>
      <c r="C3" s="84"/>
      <c r="D3" s="16">
        <v>90</v>
      </c>
      <c r="E3" s="84" t="s">
        <v>111</v>
      </c>
      <c r="F3" s="84"/>
      <c r="G3" s="16">
        <v>93</v>
      </c>
      <c r="H3" s="84" t="s">
        <v>112</v>
      </c>
      <c r="I3" s="84"/>
      <c r="J3" s="16">
        <v>94</v>
      </c>
      <c r="K3" s="84" t="s">
        <v>113</v>
      </c>
      <c r="L3" s="84"/>
      <c r="M3" s="16">
        <v>91</v>
      </c>
      <c r="N3" s="84" t="s">
        <v>114</v>
      </c>
      <c r="O3" s="84"/>
      <c r="P3" s="16">
        <v>92</v>
      </c>
      <c r="Q3" s="84" t="s">
        <v>115</v>
      </c>
      <c r="R3" s="84"/>
      <c r="S3" s="16">
        <v>95</v>
      </c>
      <c r="T3" s="84" t="s">
        <v>116</v>
      </c>
      <c r="U3" s="84"/>
      <c r="V3" s="16">
        <v>96</v>
      </c>
      <c r="W3" s="84" t="s">
        <v>117</v>
      </c>
      <c r="X3" s="84"/>
    </row>
    <row r="4" spans="1:24" s="17" customFormat="1" ht="30.95" customHeight="1" x14ac:dyDescent="0.25">
      <c r="B4" s="85" t="s">
        <v>23</v>
      </c>
      <c r="C4" s="85"/>
      <c r="E4" s="85" t="s">
        <v>25</v>
      </c>
      <c r="F4" s="85"/>
      <c r="H4" s="85" t="s">
        <v>26</v>
      </c>
      <c r="I4" s="85"/>
      <c r="K4" s="85" t="s">
        <v>20</v>
      </c>
      <c r="L4" s="85"/>
      <c r="N4" s="85" t="s">
        <v>32</v>
      </c>
      <c r="O4" s="85"/>
      <c r="Q4" s="85" t="s">
        <v>142</v>
      </c>
      <c r="R4" s="85"/>
      <c r="T4" s="85" t="s">
        <v>14</v>
      </c>
      <c r="U4" s="85"/>
      <c r="W4" s="85" t="s">
        <v>19</v>
      </c>
      <c r="X4" s="85"/>
    </row>
    <row r="5" spans="1:24" s="17" customFormat="1" ht="30.95" customHeight="1" x14ac:dyDescent="0.25">
      <c r="B5" s="18">
        <v>46207</v>
      </c>
      <c r="C5" s="19">
        <v>0.70833333333333337</v>
      </c>
      <c r="E5" s="18">
        <v>46207</v>
      </c>
      <c r="F5" s="19">
        <v>0.54166666666666663</v>
      </c>
      <c r="H5" s="18">
        <v>46209</v>
      </c>
      <c r="I5" s="19">
        <v>0.625</v>
      </c>
      <c r="K5" s="18" t="s">
        <v>196</v>
      </c>
      <c r="L5" s="19">
        <v>0.83333333333333337</v>
      </c>
      <c r="N5" s="18">
        <v>46208</v>
      </c>
      <c r="O5" s="19">
        <v>0.66666666666666663</v>
      </c>
      <c r="Q5" s="18" t="s">
        <v>197</v>
      </c>
      <c r="R5" s="19">
        <v>0.83333333333333337</v>
      </c>
      <c r="T5" s="18">
        <v>46210</v>
      </c>
      <c r="U5" s="19">
        <v>0.5</v>
      </c>
      <c r="W5" s="18">
        <v>46210</v>
      </c>
      <c r="X5" s="19">
        <v>0.66666666666666663</v>
      </c>
    </row>
    <row r="6" spans="1:24" s="17" customFormat="1" ht="30.95" customHeight="1" x14ac:dyDescent="0.25">
      <c r="B6" s="37" t="str">
        <f>IF(OR('Round of 32'!H7="",'Round of 32'!I7=""),"",IF('Round of 32'!H7&gt;'Round of 32'!I7,'Round of 32'!H6,'Round of 32'!I6))</f>
        <v/>
      </c>
      <c r="C6" s="37" t="str">
        <f>IF(OR('Round of 32'!E14="",'Round of 32'!F14=""),"",IF('Round of 32'!E14&gt;'Round of 32'!F14,'Round of 32'!E13,'Round of 32'!F13))</f>
        <v/>
      </c>
      <c r="E6" s="20" t="str">
        <f>IF(OR('Round of 32'!B7="",'Round of 32'!C7=""),"",IF('Round of 32'!B7&gt;'Round of 32'!C7,'Round of 32'!B6,'Round of 32'!C6))</f>
        <v/>
      </c>
      <c r="F6" s="20" t="str">
        <f>IF(OR('Round of 32'!K7="",'Round of 32'!L7=""),"",IF('Round of 32'!K7&gt;'Round of 32'!L7,'Round of 32'!K6,'Round of 32'!L6))</f>
        <v/>
      </c>
      <c r="H6" s="20" t="str">
        <f>IF(OR('Round of 32'!K21="",'Round of 32'!L21=""),"",IF('Round of 32'!K21&gt;'Round of 32'!L21,'Round of 32'!K20,'Round of 32'!L20))</f>
        <v/>
      </c>
      <c r="I6" s="20" t="str">
        <f>IF(OR('Round of 32'!H21="",'Round of 32'!I21=""),"",IF('Round of 32'!H21&gt;'Round of 32'!I21,'Round of 32'!H20,'Round of 32'!I20))</f>
        <v/>
      </c>
      <c r="K6" s="20" t="str">
        <f>IF(OR('Round of 32'!E21="",'Round of 32'!F21=""),"",IF('Round of 32'!E21&gt;'Round of 32'!F21,'Round of 32'!E20,'Round of 32'!F20))</f>
        <v/>
      </c>
      <c r="L6" s="20" t="str">
        <f>IF(OR('Round of 32'!B21="",'Round of 32'!C21=""),"",IF('Round of 32'!B21&gt;'Round of 32'!C21,'Round of 32'!B20,'Round of 32'!C20))</f>
        <v/>
      </c>
      <c r="N6" s="20" t="str">
        <f>IF(OR('Round of 32'!E7="",'Round of 32'!F7=""),"",IF('Round of 32'!E7&gt;'Round of 32'!F7,'Round of 32'!E6,'Round of 32'!F6))</f>
        <v/>
      </c>
      <c r="O6" s="20" t="str">
        <f>IF(OR('Round of 32'!B14="",'Round of 32'!C14=""),"",IF('Round of 32'!B14&gt;'Round of 32'!C14,'Round of 32'!B13,'Round of 32'!C13))</f>
        <v/>
      </c>
      <c r="Q6" s="20" t="str">
        <f>IF(OR('Round of 32'!H14="",'Round of 32'!I14=""),"",IF('Round of 32'!H14&gt;'Round of 32'!I14,'Round of 32'!H13,'Round of 32'!I13))</f>
        <v/>
      </c>
      <c r="R6" s="20" t="str">
        <f>IF(OR('Round of 32'!K14="",'Round of 32'!L14=""),"",IF('Round of 32'!K14&gt;'Round of 32'!L14,'Round of 32'!K13,'Round of 32'!L13))</f>
        <v/>
      </c>
      <c r="T6" s="20" t="str">
        <f>IF(OR('Round of 32'!H28="",'Round of 32'!I28=""),"",IF('Round of 32'!H28&gt;'Round of 32'!I28,'Round of 32'!H27,'Round of 32'!I27))</f>
        <v/>
      </c>
      <c r="U6" s="20" t="str">
        <f>IF(OR('Round of 32'!E28="",'Round of 32'!F28=""),"",IF('Round of 32'!E28&gt;'Round of 32'!F28,'Round of 32'!E27,'Round of 32'!F27))</f>
        <v/>
      </c>
      <c r="W6" s="20" t="str">
        <f>IF(OR('Round of 32'!B28="",'Round of 32'!C28=""),"",IF('Round of 32'!B28&gt;'Round of 32'!C28,'Round of 32'!B27,'Round of 32'!C27))</f>
        <v/>
      </c>
      <c r="X6" s="20" t="str">
        <f>IF(OR('Round of 32'!K28="",'Round of 32'!L28=""),"",IF('Round of 32'!K28&gt;'Round of 32'!L28,'Round of 32'!K27,'Round of 32'!L27))</f>
        <v/>
      </c>
    </row>
    <row r="7" spans="1:24" s="17" customFormat="1" ht="30.95" customHeight="1" x14ac:dyDescent="0.25">
      <c r="B7" s="21"/>
      <c r="C7" s="21"/>
      <c r="E7" s="21"/>
      <c r="F7" s="21"/>
      <c r="H7" s="21"/>
      <c r="I7" s="21"/>
      <c r="K7" s="21"/>
      <c r="L7" s="21"/>
      <c r="N7" s="21"/>
      <c r="O7" s="21"/>
      <c r="Q7" s="21"/>
      <c r="R7" s="21"/>
      <c r="T7" s="21"/>
      <c r="U7" s="21"/>
      <c r="W7" s="21"/>
      <c r="X7" s="21"/>
    </row>
    <row r="8" spans="1:24" s="22" customFormat="1" ht="30.95" customHeight="1" x14ac:dyDescent="0.25">
      <c r="B8" s="23" t="s">
        <v>144</v>
      </c>
      <c r="C8" s="23" t="s">
        <v>145</v>
      </c>
      <c r="E8" s="23" t="s">
        <v>146</v>
      </c>
      <c r="F8" s="23" t="s">
        <v>147</v>
      </c>
      <c r="H8" s="23" t="s">
        <v>148</v>
      </c>
      <c r="I8" s="23" t="s">
        <v>149</v>
      </c>
      <c r="K8" s="23" t="s">
        <v>150</v>
      </c>
      <c r="L8" s="23" t="s">
        <v>151</v>
      </c>
      <c r="N8" s="23" t="s">
        <v>152</v>
      </c>
      <c r="O8" s="23" t="s">
        <v>153</v>
      </c>
      <c r="Q8" s="23" t="s">
        <v>154</v>
      </c>
      <c r="R8" s="23" t="s">
        <v>155</v>
      </c>
      <c r="T8" s="23" t="s">
        <v>156</v>
      </c>
      <c r="U8" s="23" t="s">
        <v>157</v>
      </c>
      <c r="W8" s="23" t="s">
        <v>158</v>
      </c>
      <c r="X8" s="23" t="s">
        <v>159</v>
      </c>
    </row>
    <row r="9" spans="1:24" s="17" customFormat="1" ht="30.95" customHeight="1" x14ac:dyDescent="0.25"/>
    <row r="10" spans="1:24" s="17" customFormat="1" ht="30.95" customHeight="1" x14ac:dyDescent="0.25">
      <c r="B10" s="16">
        <v>97</v>
      </c>
      <c r="C10" s="78" t="s">
        <v>118</v>
      </c>
      <c r="D10" s="79"/>
      <c r="E10" s="80"/>
      <c r="H10" s="16">
        <v>98</v>
      </c>
      <c r="I10" s="78" t="s">
        <v>119</v>
      </c>
      <c r="J10" s="79"/>
      <c r="K10" s="80"/>
      <c r="N10" s="16">
        <v>99</v>
      </c>
      <c r="O10" s="78" t="s">
        <v>120</v>
      </c>
      <c r="P10" s="79"/>
      <c r="Q10" s="80"/>
      <c r="T10" s="16">
        <v>100</v>
      </c>
      <c r="U10" s="78" t="s">
        <v>121</v>
      </c>
      <c r="V10" s="79"/>
      <c r="W10" s="80"/>
    </row>
    <row r="11" spans="1:24" s="17" customFormat="1" ht="30.95" customHeight="1" x14ac:dyDescent="0.25">
      <c r="C11" s="71" t="s">
        <v>22</v>
      </c>
      <c r="D11" s="72"/>
      <c r="E11" s="73"/>
      <c r="I11" s="71" t="s">
        <v>18</v>
      </c>
      <c r="J11" s="72"/>
      <c r="K11" s="73"/>
      <c r="O11" s="71" t="s">
        <v>24</v>
      </c>
      <c r="P11" s="72"/>
      <c r="Q11" s="73"/>
      <c r="U11" s="71" t="s">
        <v>143</v>
      </c>
      <c r="V11" s="72"/>
      <c r="W11" s="73"/>
    </row>
    <row r="12" spans="1:24" s="17" customFormat="1" ht="30.95" customHeight="1" x14ac:dyDescent="0.25">
      <c r="C12" s="25">
        <v>46212</v>
      </c>
      <c r="E12" s="26">
        <v>0.66666666666666663</v>
      </c>
      <c r="I12" s="25">
        <v>46213</v>
      </c>
      <c r="K12" s="26">
        <v>0.625</v>
      </c>
      <c r="O12" s="25">
        <v>46214</v>
      </c>
      <c r="Q12" s="26">
        <v>0.70833333333333337</v>
      </c>
      <c r="U12" s="25" t="s">
        <v>198</v>
      </c>
      <c r="W12" s="26">
        <v>0.875</v>
      </c>
    </row>
    <row r="13" spans="1:24" s="17" customFormat="1" ht="30.95" customHeight="1" x14ac:dyDescent="0.25">
      <c r="C13" s="38" t="str">
        <f>IF(OR(B7="",C7=""),"",IF(B7&gt;C7,B6,C6))</f>
        <v/>
      </c>
      <c r="E13" s="39" t="str">
        <f>IF(OR(E7="",F7=""),"",IF(E7&gt;F7,E6,F6))</f>
        <v/>
      </c>
      <c r="I13" s="38" t="str">
        <f>IF(OR(H7="",I7=""),"",IF(H7&gt;I7,H6,I6))</f>
        <v/>
      </c>
      <c r="K13" s="39" t="str">
        <f>IF(OR(K7="",L7=""),"",IF(K7&gt;L7,K6,L6))</f>
        <v/>
      </c>
      <c r="O13" s="38" t="str">
        <f>IF(OR(N7="",O7=""),"",IF(N7&gt;O7,N6,O6))</f>
        <v/>
      </c>
      <c r="Q13" s="39" t="str">
        <f>IF(OR(Q7="",R7=""),"",IF(Q7&gt;R7,Q6,R6))</f>
        <v/>
      </c>
      <c r="U13" s="38" t="str">
        <f>IF(OR(T7="",U7=""),"",IF(T7&gt;U7,T6,U6))</f>
        <v/>
      </c>
      <c r="W13" s="39" t="str">
        <f>IF(OR(W7="",X7=""),"",IF(W7&gt;X7,W6,X6))</f>
        <v/>
      </c>
    </row>
    <row r="14" spans="1:24" s="17" customFormat="1" ht="30.95" customHeight="1" x14ac:dyDescent="0.25">
      <c r="C14" s="41"/>
      <c r="D14" s="27" t="s">
        <v>57</v>
      </c>
      <c r="E14" s="40"/>
      <c r="I14" s="41"/>
      <c r="J14" s="27" t="s">
        <v>57</v>
      </c>
      <c r="K14" s="40"/>
      <c r="O14" s="41"/>
      <c r="P14" s="27" t="s">
        <v>57</v>
      </c>
      <c r="Q14" s="40"/>
      <c r="U14" s="41"/>
      <c r="V14" s="27" t="s">
        <v>57</v>
      </c>
      <c r="W14" s="40"/>
    </row>
    <row r="15" spans="1:24" s="24" customFormat="1" ht="30.95" customHeight="1" x14ac:dyDescent="0.25">
      <c r="C15" s="23" t="s">
        <v>160</v>
      </c>
      <c r="E15" s="23" t="s">
        <v>161</v>
      </c>
      <c r="I15" s="23" t="s">
        <v>162</v>
      </c>
      <c r="K15" s="23" t="s">
        <v>163</v>
      </c>
      <c r="O15" s="23" t="s">
        <v>164</v>
      </c>
      <c r="Q15" s="23" t="s">
        <v>165</v>
      </c>
      <c r="U15" s="23" t="s">
        <v>166</v>
      </c>
      <c r="W15" s="23" t="s">
        <v>167</v>
      </c>
    </row>
    <row r="16" spans="1:24" s="17" customFormat="1" ht="30.95" customHeight="1" x14ac:dyDescent="0.25"/>
    <row r="17" spans="5:20" s="17" customFormat="1" ht="30.95" customHeight="1" x14ac:dyDescent="0.25"/>
    <row r="18" spans="5:20" s="17" customFormat="1" ht="30.95" customHeight="1" x14ac:dyDescent="0.25">
      <c r="E18" s="16">
        <v>101</v>
      </c>
      <c r="F18" s="81" t="s">
        <v>122</v>
      </c>
      <c r="G18" s="82"/>
      <c r="H18" s="83"/>
      <c r="K18" s="16">
        <v>103</v>
      </c>
      <c r="L18" s="74" t="s">
        <v>124</v>
      </c>
      <c r="M18" s="75"/>
      <c r="N18" s="76"/>
      <c r="Q18" s="16">
        <v>102</v>
      </c>
      <c r="R18" s="81" t="s">
        <v>123</v>
      </c>
      <c r="S18" s="82"/>
      <c r="T18" s="83"/>
    </row>
    <row r="19" spans="5:20" s="17" customFormat="1" ht="30.95" customHeight="1" x14ac:dyDescent="0.25">
      <c r="F19" s="71" t="s">
        <v>26</v>
      </c>
      <c r="G19" s="72"/>
      <c r="H19" s="73"/>
      <c r="L19" s="71" t="s">
        <v>24</v>
      </c>
      <c r="M19" s="72"/>
      <c r="N19" s="73"/>
      <c r="R19" s="71" t="s">
        <v>14</v>
      </c>
      <c r="S19" s="72"/>
      <c r="T19" s="73"/>
    </row>
    <row r="20" spans="5:20" s="17" customFormat="1" ht="30.95" customHeight="1" x14ac:dyDescent="0.25">
      <c r="F20" s="25">
        <v>45852</v>
      </c>
      <c r="H20" s="26">
        <v>0.625</v>
      </c>
      <c r="L20" s="25">
        <v>46221</v>
      </c>
      <c r="N20" s="26">
        <v>0.70833333333333337</v>
      </c>
      <c r="R20" s="25">
        <v>46218</v>
      </c>
      <c r="T20" s="26">
        <v>0.625</v>
      </c>
    </row>
    <row r="21" spans="5:20" s="17" customFormat="1" ht="30.95" customHeight="1" x14ac:dyDescent="0.25">
      <c r="F21" s="38" t="str">
        <f>IF(OR(C14="",E14=""),"",IF(C14&gt;E14,C13,E13))</f>
        <v/>
      </c>
      <c r="H21" s="39" t="str">
        <f>IF(OR(I14="",K14=""),"",IF(I14&gt;K14,I13,K13))</f>
        <v/>
      </c>
      <c r="L21" s="38" t="str">
        <f>IF(OR(F22="",H22=""),"",IF(F22&lt;H22,F21,H21))</f>
        <v/>
      </c>
      <c r="N21" s="39" t="str">
        <f>IF(OR(R22="",T22=""),"",IF(R22&lt;T22,R21,T21))</f>
        <v/>
      </c>
      <c r="R21" s="38" t="str">
        <f>IF(OR(O14="",Q14=""),"",IF(O14&gt;Q14,O13,Q13))</f>
        <v/>
      </c>
      <c r="T21" s="39" t="str">
        <f>IF(OR(U14="",W14=""),"",IF(U14&gt;W14,U13,W13))</f>
        <v/>
      </c>
    </row>
    <row r="22" spans="5:20" s="17" customFormat="1" ht="30.95" customHeight="1" x14ac:dyDescent="0.25">
      <c r="F22" s="41"/>
      <c r="G22" s="27" t="s">
        <v>57</v>
      </c>
      <c r="H22" s="40"/>
      <c r="L22" s="41"/>
      <c r="M22" s="27" t="s">
        <v>57</v>
      </c>
      <c r="N22" s="40"/>
      <c r="R22" s="41"/>
      <c r="S22" s="27" t="s">
        <v>57</v>
      </c>
      <c r="T22" s="40"/>
    </row>
    <row r="23" spans="5:20" s="17" customFormat="1" ht="30.95" customHeight="1" x14ac:dyDescent="0.25">
      <c r="F23" s="23" t="s">
        <v>168</v>
      </c>
      <c r="G23" s="24"/>
      <c r="H23" s="23" t="s">
        <v>169</v>
      </c>
      <c r="L23" s="23" t="s">
        <v>58</v>
      </c>
      <c r="M23" s="24"/>
      <c r="N23" s="23" t="s">
        <v>59</v>
      </c>
      <c r="R23" s="23" t="s">
        <v>170</v>
      </c>
      <c r="S23" s="24"/>
      <c r="T23" s="23" t="s">
        <v>171</v>
      </c>
    </row>
    <row r="24" spans="5:20" s="17" customFormat="1" ht="30.95" customHeight="1" x14ac:dyDescent="0.25"/>
    <row r="25" spans="5:20" s="17" customFormat="1" ht="30.95" customHeight="1" x14ac:dyDescent="0.25"/>
    <row r="26" spans="5:20" s="17" customFormat="1" ht="30.95" customHeight="1" x14ac:dyDescent="0.25">
      <c r="K26" s="16">
        <v>104</v>
      </c>
      <c r="L26" s="68" t="s">
        <v>109</v>
      </c>
      <c r="M26" s="69"/>
      <c r="N26" s="70"/>
    </row>
    <row r="27" spans="5:20" s="17" customFormat="1" ht="30.95" customHeight="1" x14ac:dyDescent="0.25">
      <c r="L27" s="71" t="s">
        <v>32</v>
      </c>
      <c r="M27" s="72"/>
      <c r="N27" s="73"/>
    </row>
    <row r="28" spans="5:20" s="17" customFormat="1" ht="30.95" customHeight="1" x14ac:dyDescent="0.25">
      <c r="L28" s="25">
        <v>46222</v>
      </c>
      <c r="N28" s="26">
        <v>0.625</v>
      </c>
    </row>
    <row r="29" spans="5:20" s="17" customFormat="1" ht="30.95" customHeight="1" x14ac:dyDescent="0.25">
      <c r="L29" s="38" t="str">
        <f>IF(OR(F22="",H22=""),"",IF(F22&gt;H22,F21,H21))</f>
        <v/>
      </c>
      <c r="M29" s="43"/>
      <c r="N29" s="39" t="str">
        <f>IF(OR(R22="",T22=""),"",IF(R22&gt;T22,R21,T21))</f>
        <v/>
      </c>
    </row>
    <row r="30" spans="5:20" s="17" customFormat="1" ht="30.95" customHeight="1" x14ac:dyDescent="0.25">
      <c r="L30" s="41"/>
      <c r="M30" s="27" t="s">
        <v>57</v>
      </c>
      <c r="N30" s="40"/>
    </row>
    <row r="31" spans="5:20" s="17" customFormat="1" ht="30.95" customHeight="1" x14ac:dyDescent="0.25">
      <c r="L31" s="23" t="s">
        <v>172</v>
      </c>
      <c r="M31" s="24"/>
      <c r="N31" s="23" t="s">
        <v>173</v>
      </c>
    </row>
    <row r="32" spans="5:20" ht="24" customHeight="1" x14ac:dyDescent="0.25"/>
  </sheetData>
  <mergeCells count="33">
    <mergeCell ref="B3:C3"/>
    <mergeCell ref="E3:F3"/>
    <mergeCell ref="H3:I3"/>
    <mergeCell ref="K3:L3"/>
    <mergeCell ref="B4:C4"/>
    <mergeCell ref="E4:F4"/>
    <mergeCell ref="H4:I4"/>
    <mergeCell ref="K4:L4"/>
    <mergeCell ref="O11:Q11"/>
    <mergeCell ref="N3:O3"/>
    <mergeCell ref="Q3:R3"/>
    <mergeCell ref="T3:U3"/>
    <mergeCell ref="W3:X3"/>
    <mergeCell ref="N4:O4"/>
    <mergeCell ref="Q4:R4"/>
    <mergeCell ref="T4:U4"/>
    <mergeCell ref="W4:X4"/>
    <mergeCell ref="L26:N26"/>
    <mergeCell ref="L27:N27"/>
    <mergeCell ref="L18:N18"/>
    <mergeCell ref="L19:N19"/>
    <mergeCell ref="B1:X1"/>
    <mergeCell ref="U10:W10"/>
    <mergeCell ref="U11:W11"/>
    <mergeCell ref="F18:H18"/>
    <mergeCell ref="F19:H19"/>
    <mergeCell ref="R18:T18"/>
    <mergeCell ref="R19:T19"/>
    <mergeCell ref="C10:E10"/>
    <mergeCell ref="C11:E11"/>
    <mergeCell ref="I10:K10"/>
    <mergeCell ref="I11:K11"/>
    <mergeCell ref="O10:Q10"/>
  </mergeCells>
  <pageMargins left="0.50213675213675213" right="0.49145299145299143" top="0.5805555555555556" bottom="0.78740157499999996" header="0.3" footer="0.3"/>
  <pageSetup scale="41" orientation="landscape" r:id="rId1"/>
  <headerFooter>
    <oddHeader>&amp;CWorld Cup 2026</oddHeader>
    <oddFooter>&amp;Chttps://excel-template.net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Groups</vt:lpstr>
      <vt:lpstr>Round of 32</vt:lpstr>
      <vt:lpstr>Round of 16,8,4, semi, final</vt:lpstr>
    </vt:vector>
  </TitlesOfParts>
  <Manager/>
  <Company>Artfulsheets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Worldcup 2026</dc:title>
  <dc:subject/>
  <dc:creator>Philipp Kuhlmann</dc:creator>
  <cp:keywords/>
  <dc:description/>
  <cp:lastModifiedBy>Philipp Kuhlmann</cp:lastModifiedBy>
  <cp:lastPrinted>2026-06-01T09:19:34Z</cp:lastPrinted>
  <dcterms:created xsi:type="dcterms:W3CDTF">2026-01-26T03:29:32Z</dcterms:created>
  <dcterms:modified xsi:type="dcterms:W3CDTF">2026-06-01T09:22:02Z</dcterms:modified>
  <cp:category/>
</cp:coreProperties>
</file>